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en Wilson\Documents\00_850 Code_Rev1\Biological Functional age\"/>
    </mc:Choice>
  </mc:AlternateContent>
  <xr:revisionPtr revIDLastSave="0" documentId="13_ncr:1_{27350791-AE6D-4F2E-8E0C-D45D9DBC8C89}" xr6:coauthVersionLast="47" xr6:coauthVersionMax="47" xr10:uidLastSave="{00000000-0000-0000-0000-000000000000}"/>
  <bookViews>
    <workbookView xWindow="28680" yWindow="-120" windowWidth="29040" windowHeight="15720" tabRatio="593" activeTab="4" xr2:uid="{A79E259F-7C02-45F5-A43D-DD46761F07D3}"/>
  </bookViews>
  <sheets>
    <sheet name="Vitality Normative Data" sheetId="3" r:id="rId1"/>
    <sheet name="Strength_Normative_Data" sheetId="4" r:id="rId2"/>
    <sheet name="Mobility_Normative_Data" sheetId="5" r:id="rId3"/>
    <sheet name="Metabolic_Normative_Data" sheetId="50" r:id="rId4"/>
    <sheet name="Average_20_Year_Old_Man_Pro" sheetId="19" r:id="rId5"/>
    <sheet name="Persona_1" sheetId="7" state="hidden" r:id="rId6"/>
    <sheet name="Persona_2" sheetId="8" state="hidden" r:id="rId7"/>
    <sheet name="Persona_3" sheetId="9" state="hidden" r:id="rId8"/>
    <sheet name="Persona_4" sheetId="11" state="hidden" r:id="rId9"/>
    <sheet name="Persona_5" sheetId="12" state="hidden" r:id="rId10"/>
    <sheet name="Persona_6 " sheetId="21" state="hidden"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19" l="1" a="1"/>
  <c r="O8" i="19" s="1"/>
  <c r="O10" i="19" a="1"/>
  <c r="O10" i="19" s="1"/>
  <c r="O11" i="19" a="1"/>
  <c r="O11" i="19" s="1"/>
  <c r="P12" i="19" a="1"/>
  <c r="P12" i="19" s="1"/>
  <c r="R2" i="19"/>
  <c r="O14" i="19"/>
  <c r="M2" i="21"/>
  <c r="J14" i="21"/>
  <c r="B27" i="21"/>
  <c r="J4" i="21" s="1"/>
  <c r="F19" i="21"/>
  <c r="G19" i="21" s="1"/>
  <c r="H19" i="21" s="1"/>
  <c r="I19" i="21" s="1"/>
  <c r="F18" i="21"/>
  <c r="G18" i="21" s="1"/>
  <c r="H18" i="21" s="1"/>
  <c r="I18" i="21" s="1"/>
  <c r="J17" i="21"/>
  <c r="F17" i="21"/>
  <c r="G17" i="21" s="1"/>
  <c r="H17" i="21" s="1"/>
  <c r="I17" i="21" s="1"/>
  <c r="J16" i="21"/>
  <c r="F16" i="21"/>
  <c r="G16" i="21" s="1"/>
  <c r="H16" i="21" s="1"/>
  <c r="I16" i="21" s="1"/>
  <c r="J15" i="21"/>
  <c r="F15" i="21"/>
  <c r="G15" i="21" s="1"/>
  <c r="H15" i="21" s="1"/>
  <c r="I15" i="21" s="1"/>
  <c r="F14" i="21"/>
  <c r="G14" i="21" s="1"/>
  <c r="H14" i="21" s="1"/>
  <c r="I14" i="21" s="1"/>
  <c r="J13" i="21"/>
  <c r="F13" i="21"/>
  <c r="G13" i="21" s="1"/>
  <c r="H13" i="21" s="1"/>
  <c r="I13" i="21" s="1"/>
  <c r="J12" i="21"/>
  <c r="K12" i="21" s="1"/>
  <c r="F12" i="21"/>
  <c r="G12" i="21" s="1"/>
  <c r="H12" i="21" s="1"/>
  <c r="I12" i="21" s="1"/>
  <c r="J11" i="21"/>
  <c r="F11" i="21"/>
  <c r="G11" i="21" s="1"/>
  <c r="H11" i="21" s="1"/>
  <c r="I11" i="21" s="1"/>
  <c r="J10" i="21"/>
  <c r="F10" i="21"/>
  <c r="G10" i="21" s="1"/>
  <c r="H10" i="21" s="1"/>
  <c r="I10" i="21" s="1"/>
  <c r="J8" i="21"/>
  <c r="F8" i="21"/>
  <c r="G8" i="21" s="1"/>
  <c r="H8" i="21" s="1"/>
  <c r="I8" i="21" s="1"/>
  <c r="G7" i="21"/>
  <c r="H7" i="21" s="1"/>
  <c r="I7" i="21" s="1"/>
  <c r="F7" i="21"/>
  <c r="J6" i="21"/>
  <c r="F6" i="21"/>
  <c r="G6" i="21" s="1"/>
  <c r="H6" i="21" s="1"/>
  <c r="I6" i="21" s="1"/>
  <c r="J5" i="21"/>
  <c r="F5" i="21"/>
  <c r="G5" i="21" s="1"/>
  <c r="H5" i="21" s="1"/>
  <c r="I5" i="21" s="1"/>
  <c r="F4" i="21"/>
  <c r="G4" i="21" s="1"/>
  <c r="H4" i="21" s="1"/>
  <c r="I4" i="21" s="1"/>
  <c r="F3" i="21"/>
  <c r="G3" i="21" s="1"/>
  <c r="H3" i="21" s="1"/>
  <c r="I3" i="21" s="1"/>
  <c r="F2" i="21"/>
  <c r="G2" i="21" s="1"/>
  <c r="H2" i="21" s="1"/>
  <c r="I2" i="21" s="1"/>
  <c r="F14" i="11"/>
  <c r="F4" i="11"/>
  <c r="AB48" i="11"/>
  <c r="V48" i="11"/>
  <c r="P48" i="11"/>
  <c r="AB49" i="11"/>
  <c r="AB50" i="11" s="1"/>
  <c r="AB51" i="11" s="1"/>
  <c r="AB52" i="11" s="1"/>
  <c r="AB53" i="11" s="1"/>
  <c r="AB54" i="11" s="1"/>
  <c r="AB55" i="11" s="1"/>
  <c r="AB56" i="11" s="1"/>
  <c r="AB57" i="11" s="1"/>
  <c r="AB58" i="11" s="1"/>
  <c r="V49" i="11"/>
  <c r="V50" i="11" s="1"/>
  <c r="V51" i="11" s="1"/>
  <c r="V52" i="11" s="1"/>
  <c r="V53" i="11" s="1"/>
  <c r="V54" i="11" s="1"/>
  <c r="V55" i="11" s="1"/>
  <c r="V56" i="11" s="1"/>
  <c r="V57" i="11" s="1"/>
  <c r="V58" i="11" s="1"/>
  <c r="P49" i="11"/>
  <c r="P50" i="11" s="1"/>
  <c r="P51" i="11" s="1"/>
  <c r="P52" i="11" s="1"/>
  <c r="P53" i="11" s="1"/>
  <c r="P54" i="11" s="1"/>
  <c r="P55" i="11" s="1"/>
  <c r="P56" i="11" s="1"/>
  <c r="P57" i="11" s="1"/>
  <c r="P58" i="11" s="1"/>
  <c r="F17" i="9"/>
  <c r="F16" i="9"/>
  <c r="F14" i="9"/>
  <c r="F17" i="8"/>
  <c r="F16" i="8"/>
  <c r="F15" i="8"/>
  <c r="F14" i="8"/>
  <c r="F17" i="7"/>
  <c r="F16" i="7"/>
  <c r="F14" i="7"/>
  <c r="F15" i="7"/>
  <c r="F6" i="7"/>
  <c r="H5" i="7"/>
  <c r="G5" i="7"/>
  <c r="F5" i="7"/>
  <c r="I4" i="7"/>
  <c r="H4" i="7"/>
  <c r="G4" i="7"/>
  <c r="F4" i="7"/>
  <c r="F3" i="7"/>
  <c r="J5" i="9"/>
  <c r="AC51" i="9"/>
  <c r="W51" i="9"/>
  <c r="Q51" i="9"/>
  <c r="P51" i="9"/>
  <c r="W52" i="9"/>
  <c r="W53" i="9" s="1"/>
  <c r="W54" i="9" s="1"/>
  <c r="W55" i="9" s="1"/>
  <c r="W56" i="9" s="1"/>
  <c r="W57" i="9" s="1"/>
  <c r="W58" i="9" s="1"/>
  <c r="W59" i="9" s="1"/>
  <c r="W60" i="9" s="1"/>
  <c r="W61" i="9" s="1"/>
  <c r="Q52" i="9"/>
  <c r="Q53" i="9" s="1"/>
  <c r="Q54" i="9" s="1"/>
  <c r="Q55" i="9" s="1"/>
  <c r="Q56" i="9" s="1"/>
  <c r="Q57" i="9" s="1"/>
  <c r="Q58" i="9" s="1"/>
  <c r="Q59" i="9" s="1"/>
  <c r="Q60" i="9" s="1"/>
  <c r="Q61" i="9" s="1"/>
  <c r="P52" i="9"/>
  <c r="P53" i="9" s="1"/>
  <c r="P54" i="9" s="1"/>
  <c r="P55" i="9" s="1"/>
  <c r="P56" i="9" s="1"/>
  <c r="P57" i="9" s="1"/>
  <c r="P58" i="9" s="1"/>
  <c r="P59" i="9" s="1"/>
  <c r="P60" i="9" s="1"/>
  <c r="P61" i="9" s="1"/>
  <c r="AC52" i="9"/>
  <c r="AC53" i="9" s="1"/>
  <c r="AC54" i="9" s="1"/>
  <c r="AC55" i="9" s="1"/>
  <c r="AC56" i="9" s="1"/>
  <c r="AC57" i="9" s="1"/>
  <c r="AC58" i="9" s="1"/>
  <c r="AC59" i="9" s="1"/>
  <c r="AC60" i="9" s="1"/>
  <c r="AC61" i="9" s="1"/>
  <c r="V51" i="9"/>
  <c r="V52" i="9" s="1"/>
  <c r="V53" i="9" s="1"/>
  <c r="V54" i="9" s="1"/>
  <c r="V55" i="9" s="1"/>
  <c r="V56" i="9" s="1"/>
  <c r="V57" i="9" s="1"/>
  <c r="V58" i="9" s="1"/>
  <c r="V59" i="9" s="1"/>
  <c r="V60" i="9" s="1"/>
  <c r="V61" i="9" s="1"/>
  <c r="J44" i="19"/>
  <c r="F44" i="19"/>
  <c r="J43" i="19"/>
  <c r="H43" i="19"/>
  <c r="F43" i="19"/>
  <c r="B43" i="19"/>
  <c r="D43" i="19" s="1"/>
  <c r="N34" i="19"/>
  <c r="N35" i="19" s="1"/>
  <c r="N36" i="19" s="1"/>
  <c r="N37" i="19" s="1"/>
  <c r="N38" i="19" s="1"/>
  <c r="N39" i="19" s="1"/>
  <c r="N40" i="19" s="1"/>
  <c r="N41" i="19" s="1"/>
  <c r="N42" i="19" s="1"/>
  <c r="N43" i="19" s="1"/>
  <c r="Z33" i="19"/>
  <c r="Z34" i="19" s="1"/>
  <c r="Z35" i="19" s="1"/>
  <c r="Z36" i="19" s="1"/>
  <c r="Z37" i="19" s="1"/>
  <c r="Z38" i="19" s="1"/>
  <c r="Z39" i="19" s="1"/>
  <c r="Z40" i="19" s="1"/>
  <c r="Z41" i="19" s="1"/>
  <c r="Z42" i="19" s="1"/>
  <c r="Z43" i="19" s="1"/>
  <c r="W33" i="19"/>
  <c r="W34" i="19" s="1"/>
  <c r="W35" i="19" s="1"/>
  <c r="W36" i="19" s="1"/>
  <c r="W37" i="19" s="1"/>
  <c r="W38" i="19" s="1"/>
  <c r="W39" i="19" s="1"/>
  <c r="W40" i="19" s="1"/>
  <c r="W41" i="19" s="1"/>
  <c r="W42" i="19" s="1"/>
  <c r="W43" i="19" s="1"/>
  <c r="N33" i="19"/>
  <c r="T33" i="19" s="1"/>
  <c r="T34" i="19" s="1"/>
  <c r="T35" i="19" s="1"/>
  <c r="T36" i="19" s="1"/>
  <c r="T37" i="19" s="1"/>
  <c r="T38" i="19" s="1"/>
  <c r="T39" i="19" s="1"/>
  <c r="T40" i="19" s="1"/>
  <c r="T41" i="19" s="1"/>
  <c r="T42" i="19" s="1"/>
  <c r="T43" i="19" s="1"/>
  <c r="C27" i="19"/>
  <c r="B44" i="19" s="1"/>
  <c r="D44" i="19" s="1"/>
  <c r="O19" i="19"/>
  <c r="O18" i="19"/>
  <c r="O17" i="19"/>
  <c r="O16" i="19"/>
  <c r="O15" i="19"/>
  <c r="O13" i="19"/>
  <c r="O12" i="19"/>
  <c r="O6" i="19"/>
  <c r="O5" i="19"/>
  <c r="O4" i="19"/>
  <c r="J6" i="8"/>
  <c r="J5" i="8"/>
  <c r="J4" i="8"/>
  <c r="N44" i="8"/>
  <c r="N41" i="8"/>
  <c r="N42" i="8"/>
  <c r="N43" i="8" s="1"/>
  <c r="N39" i="8"/>
  <c r="N40" i="8"/>
  <c r="N38" i="8"/>
  <c r="N37" i="8"/>
  <c r="M2" i="8"/>
  <c r="Z36" i="8"/>
  <c r="Z37" i="8" s="1"/>
  <c r="Z38" i="8" s="1"/>
  <c r="Z39" i="8" s="1"/>
  <c r="Z40" i="8" s="1"/>
  <c r="Z41" i="8" s="1"/>
  <c r="Z42" i="8" s="1"/>
  <c r="Z43" i="8" s="1"/>
  <c r="Z44" i="8" s="1"/>
  <c r="Z45" i="8" s="1"/>
  <c r="Z46" i="8" s="1"/>
  <c r="T36" i="8"/>
  <c r="N36" i="8"/>
  <c r="T37" i="8"/>
  <c r="T38" i="8" s="1"/>
  <c r="T39" i="8" s="1"/>
  <c r="T40" i="8" s="1"/>
  <c r="T41" i="8" s="1"/>
  <c r="T42" i="8" s="1"/>
  <c r="T43" i="8" s="1"/>
  <c r="T44" i="8" s="1"/>
  <c r="T45" i="8" s="1"/>
  <c r="T46" i="8" s="1"/>
  <c r="O28" i="7"/>
  <c r="O29" i="7"/>
  <c r="O30" i="7" s="1"/>
  <c r="O31" i="7" s="1"/>
  <c r="O32" i="7" s="1"/>
  <c r="O33" i="7" s="1"/>
  <c r="B27" i="7"/>
  <c r="N27" i="7"/>
  <c r="Z27" i="7" s="1"/>
  <c r="Z28" i="7" s="1"/>
  <c r="Z29" i="7" s="1"/>
  <c r="Z30" i="7" s="1"/>
  <c r="Z31" i="7" s="1"/>
  <c r="Z32" i="7" s="1"/>
  <c r="Z33" i="7" s="1"/>
  <c r="Z34" i="7" s="1"/>
  <c r="Z35" i="7" s="1"/>
  <c r="Z36" i="7" s="1"/>
  <c r="Z37" i="7" s="1"/>
  <c r="T27" i="7"/>
  <c r="T28" i="7" s="1"/>
  <c r="T29" i="7" s="1"/>
  <c r="T30" i="7" s="1"/>
  <c r="T31" i="7" s="1"/>
  <c r="T32" i="7" s="1"/>
  <c r="T33" i="7" s="1"/>
  <c r="T34" i="7" s="1"/>
  <c r="T35" i="7" s="1"/>
  <c r="T36" i="7" s="1"/>
  <c r="T37" i="7" s="1"/>
  <c r="O27" i="7"/>
  <c r="M2" i="12"/>
  <c r="M2" i="9"/>
  <c r="M2" i="7"/>
  <c r="J14" i="12"/>
  <c r="J14" i="11"/>
  <c r="J14" i="9"/>
  <c r="J15" i="8"/>
  <c r="J14" i="8"/>
  <c r="J14" i="7"/>
  <c r="M4" i="12"/>
  <c r="J17" i="12"/>
  <c r="J4" i="9"/>
  <c r="J6" i="9"/>
  <c r="J8" i="9"/>
  <c r="J10" i="9"/>
  <c r="J17" i="9"/>
  <c r="J6" i="11"/>
  <c r="J18" i="7"/>
  <c r="J18" i="9"/>
  <c r="J18" i="12"/>
  <c r="J19" i="12"/>
  <c r="J19" i="7"/>
  <c r="J19" i="9"/>
  <c r="M6" i="9" s="1"/>
  <c r="L11" i="21" l="1"/>
  <c r="M11" i="21" s="1"/>
  <c r="M4" i="21" s="1"/>
  <c r="M5" i="21"/>
  <c r="B31" i="21" s="1"/>
  <c r="J19" i="21"/>
  <c r="H43" i="21"/>
  <c r="M3" i="21"/>
  <c r="B29" i="21" s="1"/>
  <c r="C27" i="21"/>
  <c r="J43" i="21"/>
  <c r="B43" i="21"/>
  <c r="D43" i="21" s="1"/>
  <c r="J18" i="21"/>
  <c r="M36" i="21"/>
  <c r="F43" i="21"/>
  <c r="M3" i="9"/>
  <c r="S51" i="9"/>
  <c r="S52" i="9" s="1"/>
  <c r="S53" i="9" s="1"/>
  <c r="S54" i="9" s="1"/>
  <c r="S55" i="9" s="1"/>
  <c r="S56" i="9" s="1"/>
  <c r="S57" i="9" s="1"/>
  <c r="S58" i="9" s="1"/>
  <c r="S59" i="9" s="1"/>
  <c r="S60" i="9" s="1"/>
  <c r="S61" i="9" s="1"/>
  <c r="Y51" i="9"/>
  <c r="Y52" i="9" s="1"/>
  <c r="Y53" i="9" s="1"/>
  <c r="Y54" i="9" s="1"/>
  <c r="Y55" i="9" s="1"/>
  <c r="Y56" i="9" s="1"/>
  <c r="Y57" i="9" s="1"/>
  <c r="Y58" i="9" s="1"/>
  <c r="Y59" i="9" s="1"/>
  <c r="Y60" i="9" s="1"/>
  <c r="Y61" i="9" s="1"/>
  <c r="AB51" i="9"/>
  <c r="AB52" i="9" s="1"/>
  <c r="AB53" i="9" s="1"/>
  <c r="AB54" i="9" s="1"/>
  <c r="AB55" i="9" s="1"/>
  <c r="AB56" i="9" s="1"/>
  <c r="AB57" i="9" s="1"/>
  <c r="AB58" i="9" s="1"/>
  <c r="AB59" i="9" s="1"/>
  <c r="AB60" i="9" s="1"/>
  <c r="AB61" i="9" s="1"/>
  <c r="R3" i="19"/>
  <c r="B29" i="19" s="1"/>
  <c r="R6" i="19"/>
  <c r="O33" i="19"/>
  <c r="O34" i="19" s="1"/>
  <c r="O35" i="19" s="1"/>
  <c r="O36" i="19" s="1"/>
  <c r="O37" i="19" s="1"/>
  <c r="O38" i="19" s="1"/>
  <c r="O39" i="19" s="1"/>
  <c r="O40" i="19" s="1"/>
  <c r="O41" i="19" s="1"/>
  <c r="O42" i="19" s="1"/>
  <c r="O43" i="19" s="1"/>
  <c r="B28" i="19"/>
  <c r="Q11" i="19"/>
  <c r="R4" i="19" s="1" a="1"/>
  <c r="R4" i="19" s="1"/>
  <c r="R5" i="19"/>
  <c r="D27" i="19"/>
  <c r="H44" i="19"/>
  <c r="Q33" i="19"/>
  <c r="Q34" i="19" s="1"/>
  <c r="Q35" i="19" s="1"/>
  <c r="Q36" i="19" s="1"/>
  <c r="Q37" i="19" s="1"/>
  <c r="Q38" i="19" s="1"/>
  <c r="Q39" i="19" s="1"/>
  <c r="Q40" i="19" s="1"/>
  <c r="Q41" i="19" s="1"/>
  <c r="Q42" i="19" s="1"/>
  <c r="Q43" i="19" s="1"/>
  <c r="N45" i="8"/>
  <c r="N46" i="8" s="1"/>
  <c r="O34" i="7"/>
  <c r="O35" i="7" s="1"/>
  <c r="O36" i="7" s="1"/>
  <c r="O37" i="7" s="1"/>
  <c r="Q27" i="7"/>
  <c r="Q28" i="7" s="1"/>
  <c r="Q29" i="7" s="1"/>
  <c r="Q30" i="7" s="1"/>
  <c r="Q31" i="7" s="1"/>
  <c r="Q32" i="7" s="1"/>
  <c r="Q33" i="7" s="1"/>
  <c r="Q34" i="7" s="1"/>
  <c r="Q35" i="7" s="1"/>
  <c r="Q36" i="7" s="1"/>
  <c r="Q37" i="7" s="1"/>
  <c r="N28" i="7"/>
  <c r="N29" i="7" s="1"/>
  <c r="N30" i="7" s="1"/>
  <c r="N31" i="7" s="1"/>
  <c r="N32" i="7" s="1"/>
  <c r="N33" i="7" s="1"/>
  <c r="N34" i="7" s="1"/>
  <c r="N35" i="7" s="1"/>
  <c r="N36" i="7" s="1"/>
  <c r="N37" i="7" s="1"/>
  <c r="W27" i="7"/>
  <c r="W28" i="7" s="1"/>
  <c r="W29" i="7" s="1"/>
  <c r="W30" i="7" s="1"/>
  <c r="W31" i="7" s="1"/>
  <c r="W32" i="7" s="1"/>
  <c r="W33" i="7" s="1"/>
  <c r="W34" i="7" s="1"/>
  <c r="W35" i="7" s="1"/>
  <c r="W36" i="7" s="1"/>
  <c r="W37" i="7" s="1"/>
  <c r="U33" i="19" l="1"/>
  <c r="U34" i="19" s="1"/>
  <c r="U35" i="19" s="1"/>
  <c r="U36" i="19" s="1"/>
  <c r="U37" i="19" s="1"/>
  <c r="U38" i="19" s="1"/>
  <c r="U39" i="19" s="1"/>
  <c r="U40" i="19" s="1"/>
  <c r="U41" i="19" s="1"/>
  <c r="U42" i="19" s="1"/>
  <c r="U43" i="19" s="1"/>
  <c r="W36" i="21"/>
  <c r="W37" i="21" s="1"/>
  <c r="W38" i="21" s="1"/>
  <c r="W39" i="21" s="1"/>
  <c r="W40" i="21" s="1"/>
  <c r="W41" i="21" s="1"/>
  <c r="W42" i="21" s="1"/>
  <c r="W43" i="21" s="1"/>
  <c r="W44" i="21" s="1"/>
  <c r="W45" i="21" s="1"/>
  <c r="W46" i="21" s="1"/>
  <c r="M6" i="21"/>
  <c r="Q36" i="21"/>
  <c r="Q37" i="21" s="1"/>
  <c r="Q38" i="21" s="1"/>
  <c r="Q39" i="21" s="1"/>
  <c r="Q40" i="21" s="1"/>
  <c r="Q41" i="21" s="1"/>
  <c r="Q42" i="21" s="1"/>
  <c r="Q43" i="21" s="1"/>
  <c r="Q44" i="21" s="1"/>
  <c r="Q45" i="21" s="1"/>
  <c r="Q46" i="21" s="1"/>
  <c r="B30" i="21"/>
  <c r="T36" i="21"/>
  <c r="T37" i="21" s="1"/>
  <c r="T38" i="21" s="1"/>
  <c r="T39" i="21" s="1"/>
  <c r="T40" i="21" s="1"/>
  <c r="T41" i="21" s="1"/>
  <c r="T42" i="21" s="1"/>
  <c r="T43" i="21" s="1"/>
  <c r="T44" i="21" s="1"/>
  <c r="T45" i="21" s="1"/>
  <c r="T46" i="21" s="1"/>
  <c r="S36" i="21"/>
  <c r="S37" i="21" s="1"/>
  <c r="S38" i="21" s="1"/>
  <c r="S39" i="21" s="1"/>
  <c r="S40" i="21" s="1"/>
  <c r="S41" i="21" s="1"/>
  <c r="S42" i="21" s="1"/>
  <c r="S43" i="21" s="1"/>
  <c r="S44" i="21" s="1"/>
  <c r="S45" i="21" s="1"/>
  <c r="S46" i="21" s="1"/>
  <c r="Y36" i="21"/>
  <c r="Y37" i="21" s="1"/>
  <c r="Y38" i="21" s="1"/>
  <c r="Y39" i="21" s="1"/>
  <c r="Y40" i="21" s="1"/>
  <c r="Y41" i="21" s="1"/>
  <c r="Y42" i="21" s="1"/>
  <c r="Y43" i="21" s="1"/>
  <c r="Y44" i="21" s="1"/>
  <c r="Y45" i="21" s="1"/>
  <c r="Y46" i="21" s="1"/>
  <c r="V36" i="21"/>
  <c r="V37" i="21" s="1"/>
  <c r="V38" i="21" s="1"/>
  <c r="V39" i="21" s="1"/>
  <c r="V40" i="21" s="1"/>
  <c r="V41" i="21" s="1"/>
  <c r="V42" i="21" s="1"/>
  <c r="V43" i="21" s="1"/>
  <c r="V44" i="21" s="1"/>
  <c r="V45" i="21" s="1"/>
  <c r="V46" i="21" s="1"/>
  <c r="P36" i="21"/>
  <c r="P37" i="21" s="1"/>
  <c r="P38" i="21" s="1"/>
  <c r="P39" i="21" s="1"/>
  <c r="P40" i="21" s="1"/>
  <c r="P41" i="21" s="1"/>
  <c r="P42" i="21" s="1"/>
  <c r="P43" i="21" s="1"/>
  <c r="P44" i="21" s="1"/>
  <c r="P45" i="21" s="1"/>
  <c r="P46" i="21" s="1"/>
  <c r="M37" i="21"/>
  <c r="M38" i="21" s="1"/>
  <c r="M39" i="21" s="1"/>
  <c r="M40" i="21" s="1"/>
  <c r="M41" i="21" s="1"/>
  <c r="M42" i="21" s="1"/>
  <c r="M43" i="21" s="1"/>
  <c r="M44" i="21" s="1"/>
  <c r="M45" i="21" s="1"/>
  <c r="M46" i="21" s="1"/>
  <c r="Z36" i="21"/>
  <c r="Z37" i="21" s="1"/>
  <c r="Z38" i="21" s="1"/>
  <c r="Z39" i="21" s="1"/>
  <c r="Z40" i="21" s="1"/>
  <c r="Z41" i="21" s="1"/>
  <c r="Z42" i="21" s="1"/>
  <c r="Z43" i="21" s="1"/>
  <c r="Z44" i="21" s="1"/>
  <c r="Z45" i="21" s="1"/>
  <c r="Z46" i="21" s="1"/>
  <c r="B32" i="21"/>
  <c r="N36" i="21"/>
  <c r="N37" i="21" s="1"/>
  <c r="N38" i="21" s="1"/>
  <c r="N39" i="21" s="1"/>
  <c r="N40" i="21" s="1"/>
  <c r="N41" i="21" s="1"/>
  <c r="N42" i="21" s="1"/>
  <c r="N43" i="21" s="1"/>
  <c r="N44" i="21" s="1"/>
  <c r="N45" i="21" s="1"/>
  <c r="N46" i="21" s="1"/>
  <c r="B28" i="21"/>
  <c r="J44" i="21"/>
  <c r="H44" i="21"/>
  <c r="B44" i="21"/>
  <c r="D44" i="21" s="1"/>
  <c r="F44" i="21"/>
  <c r="D27" i="21"/>
  <c r="C31" i="21"/>
  <c r="I43" i="21"/>
  <c r="E43" i="21"/>
  <c r="C29" i="21"/>
  <c r="R33" i="19"/>
  <c r="R34" i="19" s="1"/>
  <c r="R35" i="19" s="1"/>
  <c r="R36" i="19" s="1"/>
  <c r="R37" i="19" s="1"/>
  <c r="R38" i="19" s="1"/>
  <c r="R39" i="19" s="1"/>
  <c r="R40" i="19" s="1"/>
  <c r="R41" i="19" s="1"/>
  <c r="R42" i="19" s="1"/>
  <c r="R43" i="19" s="1"/>
  <c r="AA33" i="19"/>
  <c r="AA34" i="19" s="1"/>
  <c r="AA35" i="19" s="1"/>
  <c r="AA36" i="19" s="1"/>
  <c r="AA37" i="19" s="1"/>
  <c r="AA38" i="19" s="1"/>
  <c r="AA39" i="19" s="1"/>
  <c r="AA40" i="19" s="1"/>
  <c r="AA41" i="19" s="1"/>
  <c r="AA42" i="19" s="1"/>
  <c r="AA43" i="19" s="1"/>
  <c r="B32" i="19"/>
  <c r="E43" i="19"/>
  <c r="C29" i="19"/>
  <c r="D45" i="19"/>
  <c r="B45" i="19"/>
  <c r="E27" i="19"/>
  <c r="J45" i="19"/>
  <c r="H45" i="19"/>
  <c r="F45" i="19"/>
  <c r="B31" i="19"/>
  <c r="X33" i="19"/>
  <c r="X34" i="19" s="1"/>
  <c r="X35" i="19" s="1"/>
  <c r="X36" i="19" s="1"/>
  <c r="X37" i="19" s="1"/>
  <c r="X38" i="19" s="1"/>
  <c r="X39" i="19" s="1"/>
  <c r="X40" i="19" s="1"/>
  <c r="X41" i="19" s="1"/>
  <c r="X42" i="19" s="1"/>
  <c r="X43" i="19" s="1"/>
  <c r="B30" i="19"/>
  <c r="T4" i="19"/>
  <c r="C28" i="19"/>
  <c r="C43" i="19"/>
  <c r="B28" i="9"/>
  <c r="F43" i="12"/>
  <c r="B27" i="12"/>
  <c r="F19" i="12"/>
  <c r="G19" i="12" s="1"/>
  <c r="H19" i="12" s="1"/>
  <c r="I19" i="12" s="1"/>
  <c r="F18" i="12"/>
  <c r="G18" i="12" s="1"/>
  <c r="H18" i="12" s="1"/>
  <c r="I18" i="12" s="1"/>
  <c r="F17" i="12"/>
  <c r="G17" i="12" s="1"/>
  <c r="H17" i="12" s="1"/>
  <c r="I17" i="12" s="1"/>
  <c r="J16" i="12"/>
  <c r="F16" i="12"/>
  <c r="G16" i="12" s="1"/>
  <c r="H16" i="12" s="1"/>
  <c r="I16" i="12" s="1"/>
  <c r="J15" i="12"/>
  <c r="F15" i="12"/>
  <c r="G15" i="12" s="1"/>
  <c r="H15" i="12" s="1"/>
  <c r="I15" i="12" s="1"/>
  <c r="F14" i="12"/>
  <c r="G14" i="12" s="1"/>
  <c r="H14" i="12" s="1"/>
  <c r="I14" i="12" s="1"/>
  <c r="J13" i="12"/>
  <c r="F13" i="12"/>
  <c r="G13" i="12" s="1"/>
  <c r="H13" i="12" s="1"/>
  <c r="I13" i="12" s="1"/>
  <c r="J12" i="12"/>
  <c r="K12" i="12" s="1"/>
  <c r="F12" i="12"/>
  <c r="G12" i="12" s="1"/>
  <c r="H12" i="12" s="1"/>
  <c r="I12" i="12" s="1"/>
  <c r="J11" i="12"/>
  <c r="F11" i="12"/>
  <c r="G11" i="12" s="1"/>
  <c r="H11" i="12" s="1"/>
  <c r="I11" i="12" s="1"/>
  <c r="J10" i="12"/>
  <c r="F10" i="12"/>
  <c r="G10" i="12" s="1"/>
  <c r="H10" i="12" s="1"/>
  <c r="I10" i="12" s="1"/>
  <c r="J8" i="12"/>
  <c r="F8" i="12"/>
  <c r="G8" i="12" s="1"/>
  <c r="H8" i="12" s="1"/>
  <c r="I8" i="12" s="1"/>
  <c r="F7" i="12"/>
  <c r="G7" i="12" s="1"/>
  <c r="H7" i="12" s="1"/>
  <c r="I7" i="12" s="1"/>
  <c r="J6" i="12"/>
  <c r="F6" i="12"/>
  <c r="G6" i="12" s="1"/>
  <c r="H6" i="12" s="1"/>
  <c r="I6" i="12" s="1"/>
  <c r="J5" i="12"/>
  <c r="F5" i="12"/>
  <c r="G5" i="12" s="1"/>
  <c r="H5" i="12" s="1"/>
  <c r="I5" i="12" s="1"/>
  <c r="F4" i="12"/>
  <c r="G4" i="12" s="1"/>
  <c r="H4" i="12" s="1"/>
  <c r="I4" i="12" s="1"/>
  <c r="F3" i="12"/>
  <c r="G3" i="12" s="1"/>
  <c r="H3" i="12" s="1"/>
  <c r="I3" i="12" s="1"/>
  <c r="B28" i="12"/>
  <c r="F2" i="12"/>
  <c r="G2" i="12" s="1"/>
  <c r="H2" i="12" s="1"/>
  <c r="I2" i="12" s="1"/>
  <c r="B27" i="11"/>
  <c r="F19" i="11"/>
  <c r="G19" i="11" s="1"/>
  <c r="H19" i="11" s="1"/>
  <c r="I19" i="11" s="1"/>
  <c r="F18" i="11"/>
  <c r="G18" i="11" s="1"/>
  <c r="H18" i="11" s="1"/>
  <c r="I18" i="11" s="1"/>
  <c r="J17" i="11"/>
  <c r="F17" i="11"/>
  <c r="G17" i="11" s="1"/>
  <c r="H17" i="11" s="1"/>
  <c r="I17" i="11" s="1"/>
  <c r="J16" i="11"/>
  <c r="F16" i="11"/>
  <c r="G16" i="11" s="1"/>
  <c r="H16" i="11" s="1"/>
  <c r="I16" i="11" s="1"/>
  <c r="J15" i="11"/>
  <c r="F15" i="11"/>
  <c r="G15" i="11" s="1"/>
  <c r="H15" i="11" s="1"/>
  <c r="I15" i="11" s="1"/>
  <c r="G14" i="11"/>
  <c r="H14" i="11" s="1"/>
  <c r="I14" i="11" s="1"/>
  <c r="J13" i="11"/>
  <c r="F13" i="11"/>
  <c r="G13" i="11" s="1"/>
  <c r="H13" i="11" s="1"/>
  <c r="I13" i="11" s="1"/>
  <c r="J12" i="11"/>
  <c r="K12" i="11" s="1"/>
  <c r="F12" i="11"/>
  <c r="G12" i="11" s="1"/>
  <c r="H12" i="11" s="1"/>
  <c r="I12" i="11" s="1"/>
  <c r="J11" i="11"/>
  <c r="F11" i="11"/>
  <c r="G11" i="11" s="1"/>
  <c r="H11" i="11" s="1"/>
  <c r="I11" i="11" s="1"/>
  <c r="J10" i="11"/>
  <c r="F10" i="11"/>
  <c r="G10" i="11" s="1"/>
  <c r="H10" i="11" s="1"/>
  <c r="I10" i="11" s="1"/>
  <c r="J8" i="11"/>
  <c r="F8" i="11"/>
  <c r="G8" i="11" s="1"/>
  <c r="H8" i="11" s="1"/>
  <c r="I8" i="11" s="1"/>
  <c r="F7" i="11"/>
  <c r="G7" i="11" s="1"/>
  <c r="H7" i="11" s="1"/>
  <c r="I7" i="11" s="1"/>
  <c r="F6" i="11"/>
  <c r="G6" i="11" s="1"/>
  <c r="H6" i="11" s="1"/>
  <c r="I6" i="11" s="1"/>
  <c r="J5" i="11"/>
  <c r="F5" i="11"/>
  <c r="G5" i="11" s="1"/>
  <c r="H5" i="11" s="1"/>
  <c r="I5" i="11" s="1"/>
  <c r="G4" i="11"/>
  <c r="H4" i="11" s="1"/>
  <c r="I4" i="11" s="1"/>
  <c r="F3" i="11"/>
  <c r="G3" i="11" s="1"/>
  <c r="H3" i="11" s="1"/>
  <c r="I3" i="11" s="1"/>
  <c r="F2" i="11"/>
  <c r="G2" i="11" s="1"/>
  <c r="H2" i="11" s="1"/>
  <c r="I2" i="11" s="1"/>
  <c r="J16" i="8"/>
  <c r="B27" i="9"/>
  <c r="F43" i="9" s="1"/>
  <c r="F19" i="9"/>
  <c r="G19" i="9" s="1"/>
  <c r="H19" i="9" s="1"/>
  <c r="I19" i="9" s="1"/>
  <c r="F18" i="9"/>
  <c r="G18" i="9" s="1"/>
  <c r="H18" i="9" s="1"/>
  <c r="I18" i="9" s="1"/>
  <c r="G17" i="9"/>
  <c r="H17" i="9" s="1"/>
  <c r="I17" i="9" s="1"/>
  <c r="J16" i="9"/>
  <c r="G16" i="9"/>
  <c r="H16" i="9" s="1"/>
  <c r="I16" i="9" s="1"/>
  <c r="J15" i="9"/>
  <c r="F15" i="9"/>
  <c r="G15" i="9" s="1"/>
  <c r="H15" i="9" s="1"/>
  <c r="I15" i="9" s="1"/>
  <c r="G14" i="9"/>
  <c r="H14" i="9" s="1"/>
  <c r="I14" i="9" s="1"/>
  <c r="J13" i="9"/>
  <c r="F13" i="9"/>
  <c r="G13" i="9" s="1"/>
  <c r="H13" i="9" s="1"/>
  <c r="I13" i="9" s="1"/>
  <c r="J12" i="9"/>
  <c r="K12" i="9" s="1"/>
  <c r="L11" i="9" s="1"/>
  <c r="M11" i="9" s="1"/>
  <c r="G12" i="9"/>
  <c r="H12" i="9" s="1"/>
  <c r="I12" i="9" s="1"/>
  <c r="F12" i="9"/>
  <c r="J11" i="9"/>
  <c r="F11" i="9"/>
  <c r="G11" i="9" s="1"/>
  <c r="H11" i="9" s="1"/>
  <c r="I11" i="9" s="1"/>
  <c r="F10" i="9"/>
  <c r="G10" i="9" s="1"/>
  <c r="H10" i="9" s="1"/>
  <c r="I10" i="9" s="1"/>
  <c r="F8" i="9"/>
  <c r="G8" i="9" s="1"/>
  <c r="H8" i="9" s="1"/>
  <c r="I8" i="9" s="1"/>
  <c r="F7" i="9"/>
  <c r="G7" i="9" s="1"/>
  <c r="H7" i="9" s="1"/>
  <c r="I7" i="9" s="1"/>
  <c r="F6" i="9"/>
  <c r="G6" i="9" s="1"/>
  <c r="H6" i="9" s="1"/>
  <c r="I6" i="9" s="1"/>
  <c r="F5" i="9"/>
  <c r="G5" i="9" s="1"/>
  <c r="H5" i="9" s="1"/>
  <c r="I5" i="9" s="1"/>
  <c r="F4" i="9"/>
  <c r="G4" i="9" s="1"/>
  <c r="H4" i="9" s="1"/>
  <c r="I4" i="9" s="1"/>
  <c r="F3" i="9"/>
  <c r="G3" i="9" s="1"/>
  <c r="H3" i="9" s="1"/>
  <c r="I3" i="9" s="1"/>
  <c r="F2" i="9"/>
  <c r="G2" i="9" s="1"/>
  <c r="H2" i="9" s="1"/>
  <c r="I2" i="9" s="1"/>
  <c r="B27" i="8"/>
  <c r="F19" i="8"/>
  <c r="G19" i="8" s="1"/>
  <c r="H19" i="8" s="1"/>
  <c r="I19" i="8" s="1"/>
  <c r="F18" i="8"/>
  <c r="G18" i="8" s="1"/>
  <c r="H18" i="8" s="1"/>
  <c r="I18" i="8" s="1"/>
  <c r="J17" i="8"/>
  <c r="G17" i="8"/>
  <c r="H17" i="8" s="1"/>
  <c r="I17" i="8" s="1"/>
  <c r="G16" i="8"/>
  <c r="H16" i="8" s="1"/>
  <c r="I16" i="8" s="1"/>
  <c r="G15" i="8"/>
  <c r="H15" i="8" s="1"/>
  <c r="I15" i="8" s="1"/>
  <c r="G14" i="8"/>
  <c r="H14" i="8" s="1"/>
  <c r="I14" i="8" s="1"/>
  <c r="J13" i="8"/>
  <c r="F13" i="8"/>
  <c r="G13" i="8" s="1"/>
  <c r="H13" i="8" s="1"/>
  <c r="I13" i="8" s="1"/>
  <c r="J12" i="8"/>
  <c r="K12" i="8" s="1"/>
  <c r="F12" i="8"/>
  <c r="G12" i="8" s="1"/>
  <c r="H12" i="8" s="1"/>
  <c r="I12" i="8" s="1"/>
  <c r="J11" i="8"/>
  <c r="F11" i="8"/>
  <c r="G11" i="8" s="1"/>
  <c r="H11" i="8" s="1"/>
  <c r="I11" i="8" s="1"/>
  <c r="J10" i="8"/>
  <c r="F10" i="8"/>
  <c r="G10" i="8" s="1"/>
  <c r="H10" i="8" s="1"/>
  <c r="I10" i="8" s="1"/>
  <c r="J8" i="8"/>
  <c r="F8" i="8"/>
  <c r="G8" i="8" s="1"/>
  <c r="H8" i="8" s="1"/>
  <c r="I8" i="8" s="1"/>
  <c r="F7" i="8"/>
  <c r="G7" i="8" s="1"/>
  <c r="H7" i="8" s="1"/>
  <c r="I7" i="8" s="1"/>
  <c r="F6" i="8"/>
  <c r="G6" i="8" s="1"/>
  <c r="H6" i="8" s="1"/>
  <c r="I6" i="8" s="1"/>
  <c r="F5" i="8"/>
  <c r="G5" i="8" s="1"/>
  <c r="H5" i="8" s="1"/>
  <c r="I5" i="8" s="1"/>
  <c r="F4" i="8"/>
  <c r="G4" i="8" s="1"/>
  <c r="H4" i="8" s="1"/>
  <c r="I4" i="8" s="1"/>
  <c r="F3" i="8"/>
  <c r="G3" i="8" s="1"/>
  <c r="H3" i="8" s="1"/>
  <c r="I3" i="8" s="1"/>
  <c r="F2" i="8"/>
  <c r="G2" i="8" s="1"/>
  <c r="H2" i="8" s="1"/>
  <c r="I2" i="8" s="1"/>
  <c r="J4" i="7"/>
  <c r="H43" i="7"/>
  <c r="J43" i="7"/>
  <c r="F19" i="7"/>
  <c r="G19" i="7" s="1"/>
  <c r="H19" i="7" s="1"/>
  <c r="I19" i="7" s="1"/>
  <c r="F18" i="7"/>
  <c r="G18" i="7" s="1"/>
  <c r="H18" i="7" s="1"/>
  <c r="I18" i="7" s="1"/>
  <c r="J17" i="7"/>
  <c r="G17" i="7"/>
  <c r="H17" i="7" s="1"/>
  <c r="I17" i="7" s="1"/>
  <c r="J16" i="7"/>
  <c r="G16" i="7"/>
  <c r="H16" i="7" s="1"/>
  <c r="I16" i="7" s="1"/>
  <c r="J15" i="7"/>
  <c r="G15" i="7"/>
  <c r="H15" i="7" s="1"/>
  <c r="I15" i="7" s="1"/>
  <c r="G14" i="7"/>
  <c r="H14" i="7" s="1"/>
  <c r="I14" i="7" s="1"/>
  <c r="J13" i="7"/>
  <c r="F13" i="7"/>
  <c r="G13" i="7" s="1"/>
  <c r="H13" i="7" s="1"/>
  <c r="I13" i="7" s="1"/>
  <c r="J12" i="7"/>
  <c r="K12" i="7" s="1"/>
  <c r="F12" i="7"/>
  <c r="G12" i="7" s="1"/>
  <c r="H12" i="7" s="1"/>
  <c r="I12" i="7" s="1"/>
  <c r="J11" i="7"/>
  <c r="F11" i="7"/>
  <c r="G11" i="7" s="1"/>
  <c r="H11" i="7" s="1"/>
  <c r="I11" i="7" s="1"/>
  <c r="J10" i="7"/>
  <c r="F10" i="7"/>
  <c r="G10" i="7" s="1"/>
  <c r="H10" i="7" s="1"/>
  <c r="I10" i="7" s="1"/>
  <c r="J8" i="7"/>
  <c r="F8" i="7"/>
  <c r="G8" i="7" s="1"/>
  <c r="H8" i="7" s="1"/>
  <c r="I8" i="7" s="1"/>
  <c r="F7" i="7"/>
  <c r="G7" i="7" s="1"/>
  <c r="H7" i="7" s="1"/>
  <c r="I7" i="7" s="1"/>
  <c r="J6" i="7"/>
  <c r="G6" i="7"/>
  <c r="H6" i="7" s="1"/>
  <c r="I6" i="7" s="1"/>
  <c r="J5" i="7"/>
  <c r="I5" i="7"/>
  <c r="G3" i="7"/>
  <c r="H3" i="7" s="1"/>
  <c r="I3" i="7" s="1"/>
  <c r="B28" i="7"/>
  <c r="F2" i="7"/>
  <c r="G2" i="7" s="1"/>
  <c r="H2" i="7" s="1"/>
  <c r="I2" i="7" s="1"/>
  <c r="B45" i="21" l="1"/>
  <c r="H45" i="21"/>
  <c r="F45" i="21"/>
  <c r="J45" i="21"/>
  <c r="E27" i="21"/>
  <c r="D45" i="21"/>
  <c r="A37" i="21"/>
  <c r="O4" i="21" s="1"/>
  <c r="C43" i="21"/>
  <c r="C28" i="21"/>
  <c r="K43" i="21"/>
  <c r="C32" i="21"/>
  <c r="E44" i="21"/>
  <c r="D29" i="21"/>
  <c r="D31" i="21"/>
  <c r="I44" i="21"/>
  <c r="G43" i="21"/>
  <c r="C30" i="21"/>
  <c r="O48" i="11"/>
  <c r="J18" i="11"/>
  <c r="J19" i="11"/>
  <c r="M2" i="11"/>
  <c r="B28" i="11" s="1"/>
  <c r="C43" i="11" s="1"/>
  <c r="K43" i="19"/>
  <c r="C32" i="19"/>
  <c r="I43" i="19"/>
  <c r="C31" i="19"/>
  <c r="F46" i="19"/>
  <c r="D46" i="19"/>
  <c r="F27" i="19"/>
  <c r="J46" i="19"/>
  <c r="H46" i="19"/>
  <c r="B46" i="19"/>
  <c r="C44" i="19"/>
  <c r="D28" i="19"/>
  <c r="A37" i="19"/>
  <c r="E44" i="19"/>
  <c r="D29" i="19"/>
  <c r="G43" i="19"/>
  <c r="C30" i="19"/>
  <c r="M36" i="8"/>
  <c r="J19" i="8"/>
  <c r="B28" i="8"/>
  <c r="J18" i="8"/>
  <c r="M6" i="8" s="1"/>
  <c r="B32" i="8" s="1"/>
  <c r="M3" i="8"/>
  <c r="L11" i="12"/>
  <c r="M11" i="12" s="1"/>
  <c r="B30" i="12" s="1"/>
  <c r="M5" i="12"/>
  <c r="B31" i="12" s="1"/>
  <c r="I43" i="12" s="1"/>
  <c r="C43" i="12"/>
  <c r="C28" i="12"/>
  <c r="C27" i="12"/>
  <c r="H43" i="12"/>
  <c r="J43" i="12"/>
  <c r="M6" i="12"/>
  <c r="B32" i="12" s="1"/>
  <c r="J4" i="12"/>
  <c r="M3" i="12" s="1"/>
  <c r="B29" i="12" s="1"/>
  <c r="B43" i="12"/>
  <c r="D43" i="12" s="1"/>
  <c r="L11" i="11"/>
  <c r="M11" i="11" s="1"/>
  <c r="M4" i="11" s="1"/>
  <c r="B30" i="11" s="1"/>
  <c r="F43" i="11"/>
  <c r="M5" i="11"/>
  <c r="J43" i="11"/>
  <c r="C27" i="11"/>
  <c r="H43" i="11"/>
  <c r="J4" i="11"/>
  <c r="M3" i="11" s="1"/>
  <c r="B43" i="11"/>
  <c r="D43" i="11" s="1"/>
  <c r="M5" i="9"/>
  <c r="B31" i="9" s="1"/>
  <c r="Z51" i="9" s="1"/>
  <c r="Z52" i="9" s="1"/>
  <c r="Z53" i="9" s="1"/>
  <c r="Z54" i="9" s="1"/>
  <c r="Z55" i="9" s="1"/>
  <c r="Z56" i="9" s="1"/>
  <c r="Z57" i="9" s="1"/>
  <c r="Z58" i="9" s="1"/>
  <c r="Z59" i="9" s="1"/>
  <c r="Z60" i="9" s="1"/>
  <c r="Z61" i="9" s="1"/>
  <c r="C43" i="9"/>
  <c r="C28" i="9"/>
  <c r="M4" i="9"/>
  <c r="B30" i="9" s="1"/>
  <c r="C27" i="9"/>
  <c r="H43" i="9"/>
  <c r="J43" i="9"/>
  <c r="B32" i="9"/>
  <c r="B29" i="9"/>
  <c r="T51" i="9" s="1"/>
  <c r="T52" i="9" s="1"/>
  <c r="T53" i="9" s="1"/>
  <c r="T54" i="9" s="1"/>
  <c r="T55" i="9" s="1"/>
  <c r="T56" i="9" s="1"/>
  <c r="T57" i="9" s="1"/>
  <c r="T58" i="9" s="1"/>
  <c r="T59" i="9" s="1"/>
  <c r="T60" i="9" s="1"/>
  <c r="T61" i="9" s="1"/>
  <c r="B43" i="9"/>
  <c r="D43" i="9" s="1"/>
  <c r="L11" i="8"/>
  <c r="M11" i="8" s="1"/>
  <c r="M4" i="8"/>
  <c r="B30" i="8" s="1"/>
  <c r="C30" i="8" s="1"/>
  <c r="M5" i="8"/>
  <c r="F43" i="8"/>
  <c r="C43" i="8"/>
  <c r="C28" i="8"/>
  <c r="C27" i="8"/>
  <c r="H43" i="8"/>
  <c r="J43" i="8"/>
  <c r="B43" i="8"/>
  <c r="D43" i="8" s="1"/>
  <c r="L11" i="7"/>
  <c r="M11" i="7" s="1"/>
  <c r="M4" i="7" s="1"/>
  <c r="M3" i="7"/>
  <c r="C27" i="7"/>
  <c r="D27" i="7" s="1"/>
  <c r="H45" i="7" s="1"/>
  <c r="B43" i="7"/>
  <c r="D43" i="7" s="1"/>
  <c r="F43" i="7"/>
  <c r="M5" i="7"/>
  <c r="F44" i="7"/>
  <c r="H44" i="7"/>
  <c r="C43" i="7"/>
  <c r="C28" i="7"/>
  <c r="J44" i="7"/>
  <c r="B44" i="7"/>
  <c r="D44" i="7" s="1"/>
  <c r="K44" i="21" l="1"/>
  <c r="D32" i="21"/>
  <c r="D28" i="21"/>
  <c r="C44" i="21"/>
  <c r="I45" i="21"/>
  <c r="E31" i="21"/>
  <c r="E45" i="21"/>
  <c r="E29" i="21"/>
  <c r="G44" i="21"/>
  <c r="D30" i="21"/>
  <c r="F27" i="21"/>
  <c r="F46" i="21"/>
  <c r="D46" i="21"/>
  <c r="B46" i="21"/>
  <c r="H46" i="21"/>
  <c r="J46" i="21"/>
  <c r="B31" i="11"/>
  <c r="C31" i="11" s="1"/>
  <c r="I44" i="11" s="1"/>
  <c r="Y48" i="11"/>
  <c r="Y49" i="11" s="1"/>
  <c r="Y50" i="11" s="1"/>
  <c r="Y51" i="11" s="1"/>
  <c r="Y52" i="11" s="1"/>
  <c r="Y53" i="11" s="1"/>
  <c r="Y54" i="11" s="1"/>
  <c r="Y55" i="11" s="1"/>
  <c r="Y56" i="11" s="1"/>
  <c r="Y57" i="11" s="1"/>
  <c r="Y58" i="11" s="1"/>
  <c r="B29" i="11"/>
  <c r="S48" i="11"/>
  <c r="S49" i="11" s="1"/>
  <c r="S50" i="11" s="1"/>
  <c r="S51" i="11" s="1"/>
  <c r="S52" i="11" s="1"/>
  <c r="S53" i="11" s="1"/>
  <c r="S54" i="11" s="1"/>
  <c r="S55" i="11" s="1"/>
  <c r="S56" i="11" s="1"/>
  <c r="S57" i="11" s="1"/>
  <c r="S58" i="11" s="1"/>
  <c r="AA48" i="11"/>
  <c r="AA49" i="11" s="1"/>
  <c r="AA50" i="11" s="1"/>
  <c r="AA51" i="11" s="1"/>
  <c r="AA52" i="11" s="1"/>
  <c r="AA53" i="11" s="1"/>
  <c r="AA54" i="11" s="1"/>
  <c r="AA55" i="11" s="1"/>
  <c r="AA56" i="11" s="1"/>
  <c r="AA57" i="11" s="1"/>
  <c r="AA58" i="11" s="1"/>
  <c r="X48" i="11"/>
  <c r="X49" i="11" s="1"/>
  <c r="X50" i="11" s="1"/>
  <c r="X51" i="11" s="1"/>
  <c r="X52" i="11" s="1"/>
  <c r="X53" i="11" s="1"/>
  <c r="X54" i="11" s="1"/>
  <c r="X55" i="11" s="1"/>
  <c r="X56" i="11" s="1"/>
  <c r="X57" i="11" s="1"/>
  <c r="X58" i="11" s="1"/>
  <c r="U48" i="11"/>
  <c r="U49" i="11" s="1"/>
  <c r="U50" i="11" s="1"/>
  <c r="U51" i="11" s="1"/>
  <c r="U52" i="11" s="1"/>
  <c r="U53" i="11" s="1"/>
  <c r="U54" i="11" s="1"/>
  <c r="U55" i="11" s="1"/>
  <c r="U56" i="11" s="1"/>
  <c r="U57" i="11" s="1"/>
  <c r="U58" i="11" s="1"/>
  <c r="R48" i="11"/>
  <c r="R49" i="11" s="1"/>
  <c r="R50" i="11" s="1"/>
  <c r="R51" i="11" s="1"/>
  <c r="R52" i="11" s="1"/>
  <c r="R53" i="11" s="1"/>
  <c r="R54" i="11" s="1"/>
  <c r="R55" i="11" s="1"/>
  <c r="R56" i="11" s="1"/>
  <c r="R57" i="11" s="1"/>
  <c r="R58" i="11" s="1"/>
  <c r="O49" i="11"/>
  <c r="O50" i="11" s="1"/>
  <c r="O51" i="11" s="1"/>
  <c r="O52" i="11" s="1"/>
  <c r="O53" i="11" s="1"/>
  <c r="O54" i="11" s="1"/>
  <c r="O55" i="11" s="1"/>
  <c r="O56" i="11" s="1"/>
  <c r="O57" i="11" s="1"/>
  <c r="O58" i="11" s="1"/>
  <c r="C28" i="11"/>
  <c r="C44" i="11" s="1"/>
  <c r="K44" i="19"/>
  <c r="D32" i="19"/>
  <c r="E28" i="19"/>
  <c r="C45" i="19"/>
  <c r="D30" i="19"/>
  <c r="G44" i="19"/>
  <c r="J47" i="19"/>
  <c r="H47" i="19"/>
  <c r="F47" i="19"/>
  <c r="D47" i="19"/>
  <c r="B47" i="19"/>
  <c r="E45" i="19"/>
  <c r="E29" i="19"/>
  <c r="D31" i="19"/>
  <c r="I44" i="19"/>
  <c r="B31" i="8"/>
  <c r="I43" i="8" s="1"/>
  <c r="W36" i="8"/>
  <c r="W37" i="8" s="1"/>
  <c r="W38" i="8" s="1"/>
  <c r="W39" i="8" s="1"/>
  <c r="W40" i="8" s="1"/>
  <c r="W41" i="8" s="1"/>
  <c r="W42" i="8" s="1"/>
  <c r="W43" i="8" s="1"/>
  <c r="W44" i="8" s="1"/>
  <c r="W45" i="8" s="1"/>
  <c r="W46" i="8" s="1"/>
  <c r="B29" i="8"/>
  <c r="Q36" i="8"/>
  <c r="Q37" i="8" s="1"/>
  <c r="Q38" i="8" s="1"/>
  <c r="Q39" i="8" s="1"/>
  <c r="Q40" i="8" s="1"/>
  <c r="Q41" i="8" s="1"/>
  <c r="Q42" i="8" s="1"/>
  <c r="Q43" i="8" s="1"/>
  <c r="Q44" i="8" s="1"/>
  <c r="Q45" i="8" s="1"/>
  <c r="Q46" i="8" s="1"/>
  <c r="P36" i="8"/>
  <c r="P37" i="8" s="1"/>
  <c r="P38" i="8" s="1"/>
  <c r="P39" i="8" s="1"/>
  <c r="P40" i="8" s="1"/>
  <c r="P41" i="8" s="1"/>
  <c r="P42" i="8" s="1"/>
  <c r="P43" i="8" s="1"/>
  <c r="P44" i="8" s="1"/>
  <c r="P45" i="8" s="1"/>
  <c r="P46" i="8" s="1"/>
  <c r="M37" i="8"/>
  <c r="M38" i="8" s="1"/>
  <c r="M39" i="8" s="1"/>
  <c r="M40" i="8" s="1"/>
  <c r="M41" i="8" s="1"/>
  <c r="M42" i="8" s="1"/>
  <c r="M43" i="8" s="1"/>
  <c r="M44" i="8" s="1"/>
  <c r="M45" i="8" s="1"/>
  <c r="M46" i="8" s="1"/>
  <c r="Y36" i="8"/>
  <c r="Y37" i="8" s="1"/>
  <c r="Y38" i="8" s="1"/>
  <c r="Y39" i="8" s="1"/>
  <c r="Y40" i="8" s="1"/>
  <c r="Y41" i="8" s="1"/>
  <c r="Y42" i="8" s="1"/>
  <c r="Y43" i="8" s="1"/>
  <c r="Y44" i="8" s="1"/>
  <c r="Y45" i="8" s="1"/>
  <c r="Y46" i="8" s="1"/>
  <c r="V36" i="8"/>
  <c r="V37" i="8" s="1"/>
  <c r="V38" i="8" s="1"/>
  <c r="V39" i="8" s="1"/>
  <c r="V40" i="8" s="1"/>
  <c r="V41" i="8" s="1"/>
  <c r="V42" i="8" s="1"/>
  <c r="V43" i="8" s="1"/>
  <c r="V44" i="8" s="1"/>
  <c r="V45" i="8" s="1"/>
  <c r="V46" i="8" s="1"/>
  <c r="S36" i="8"/>
  <c r="S37" i="8" s="1"/>
  <c r="S38" i="8" s="1"/>
  <c r="S39" i="8" s="1"/>
  <c r="S40" i="8" s="1"/>
  <c r="S41" i="8" s="1"/>
  <c r="S42" i="8" s="1"/>
  <c r="S43" i="8" s="1"/>
  <c r="S44" i="8" s="1"/>
  <c r="S45" i="8" s="1"/>
  <c r="S46" i="8" s="1"/>
  <c r="D45" i="7"/>
  <c r="B30" i="7"/>
  <c r="G43" i="7" s="1"/>
  <c r="U27" i="7"/>
  <c r="U28" i="7" s="1"/>
  <c r="U29" i="7" s="1"/>
  <c r="U30" i="7" s="1"/>
  <c r="U31" i="7" s="1"/>
  <c r="U32" i="7" s="1"/>
  <c r="U33" i="7" s="1"/>
  <c r="U34" i="7" s="1"/>
  <c r="U35" i="7" s="1"/>
  <c r="U36" i="7" s="1"/>
  <c r="U37" i="7" s="1"/>
  <c r="J45" i="7"/>
  <c r="E27" i="7"/>
  <c r="B45" i="7"/>
  <c r="F45" i="7"/>
  <c r="B31" i="7"/>
  <c r="I43" i="7" s="1"/>
  <c r="X27" i="7"/>
  <c r="X28" i="7" s="1"/>
  <c r="X29" i="7" s="1"/>
  <c r="X30" i="7" s="1"/>
  <c r="X31" i="7" s="1"/>
  <c r="X32" i="7" s="1"/>
  <c r="X33" i="7" s="1"/>
  <c r="X34" i="7" s="1"/>
  <c r="X35" i="7" s="1"/>
  <c r="X36" i="7" s="1"/>
  <c r="X37" i="7" s="1"/>
  <c r="B29" i="7"/>
  <c r="C29" i="7" s="1"/>
  <c r="E44" i="7" s="1"/>
  <c r="R27" i="7"/>
  <c r="R28" i="7" s="1"/>
  <c r="A37" i="12"/>
  <c r="O4" i="12" s="1"/>
  <c r="A37" i="9"/>
  <c r="O4" i="9" s="1"/>
  <c r="C31" i="12"/>
  <c r="I44" i="12" s="1"/>
  <c r="C29" i="12"/>
  <c r="E43" i="12"/>
  <c r="K43" i="12"/>
  <c r="C32" i="12"/>
  <c r="B44" i="12"/>
  <c r="D44" i="12" s="1"/>
  <c r="D27" i="12"/>
  <c r="J44" i="12"/>
  <c r="H44" i="12"/>
  <c r="F44" i="12"/>
  <c r="C30" i="12"/>
  <c r="G43" i="12"/>
  <c r="D28" i="12"/>
  <c r="C44" i="12"/>
  <c r="M6" i="11"/>
  <c r="B32" i="11" s="1"/>
  <c r="C30" i="11"/>
  <c r="D30" i="11" s="1"/>
  <c r="G43" i="11"/>
  <c r="B44" i="11"/>
  <c r="D44" i="11" s="1"/>
  <c r="F44" i="11"/>
  <c r="J44" i="11"/>
  <c r="H44" i="11"/>
  <c r="D27" i="11"/>
  <c r="D28" i="11"/>
  <c r="I43" i="9"/>
  <c r="C31" i="9"/>
  <c r="E43" i="9"/>
  <c r="C29" i="9"/>
  <c r="H44" i="9"/>
  <c r="B44" i="9"/>
  <c r="D44" i="9" s="1"/>
  <c r="D27" i="9"/>
  <c r="J44" i="9"/>
  <c r="F44" i="9"/>
  <c r="C30" i="9"/>
  <c r="G43" i="9"/>
  <c r="D28" i="9"/>
  <c r="C44" i="9"/>
  <c r="K43" i="9"/>
  <c r="C32" i="9"/>
  <c r="G43" i="8"/>
  <c r="C32" i="8"/>
  <c r="K43" i="8"/>
  <c r="H44" i="8"/>
  <c r="B44" i="8"/>
  <c r="D44" i="8" s="1"/>
  <c r="D27" i="8"/>
  <c r="F44" i="8"/>
  <c r="J44" i="8"/>
  <c r="D28" i="8"/>
  <c r="C44" i="8"/>
  <c r="G44" i="8"/>
  <c r="D30" i="8"/>
  <c r="C30" i="7"/>
  <c r="G44" i="7" s="1"/>
  <c r="M6" i="7"/>
  <c r="H46" i="7"/>
  <c r="F46" i="7"/>
  <c r="D46" i="7"/>
  <c r="F27" i="7"/>
  <c r="B46" i="7"/>
  <c r="J46" i="7"/>
  <c r="D28" i="7"/>
  <c r="C44" i="7"/>
  <c r="J47" i="21" l="1"/>
  <c r="H47" i="21"/>
  <c r="D47" i="21"/>
  <c r="F47" i="21"/>
  <c r="B47" i="21"/>
  <c r="I46" i="21"/>
  <c r="F31" i="21"/>
  <c r="E30" i="21"/>
  <c r="G45" i="21"/>
  <c r="F29" i="21"/>
  <c r="E47" i="21" s="1"/>
  <c r="E46" i="21"/>
  <c r="C45" i="21"/>
  <c r="E28" i="21"/>
  <c r="E32" i="21"/>
  <c r="K45" i="21"/>
  <c r="I43" i="11"/>
  <c r="D31" i="11"/>
  <c r="I45" i="11" s="1"/>
  <c r="A37" i="11"/>
  <c r="O4" i="11" s="1"/>
  <c r="E43" i="11"/>
  <c r="C29" i="11"/>
  <c r="E44" i="11" s="1"/>
  <c r="K45" i="19"/>
  <c r="E32" i="19"/>
  <c r="G45" i="19"/>
  <c r="E30" i="19"/>
  <c r="C46" i="19"/>
  <c r="F28" i="19"/>
  <c r="C47" i="19" s="1"/>
  <c r="E31" i="19"/>
  <c r="I45" i="19"/>
  <c r="E46" i="19"/>
  <c r="F29" i="19"/>
  <c r="E47" i="19" s="1"/>
  <c r="C31" i="8"/>
  <c r="I44" i="8" s="1"/>
  <c r="A37" i="8"/>
  <c r="O4" i="8" s="1"/>
  <c r="E43" i="8"/>
  <c r="C29" i="8"/>
  <c r="E44" i="8" s="1"/>
  <c r="R29" i="7"/>
  <c r="R30" i="7" s="1"/>
  <c r="B32" i="7"/>
  <c r="A37" i="7" s="1"/>
  <c r="O4" i="7" s="1"/>
  <c r="AA27" i="7"/>
  <c r="AA28" i="7" s="1"/>
  <c r="AA29" i="7" s="1"/>
  <c r="AA30" i="7" s="1"/>
  <c r="AA31" i="7" s="1"/>
  <c r="AA32" i="7" s="1"/>
  <c r="AA33" i="7" s="1"/>
  <c r="AA34" i="7" s="1"/>
  <c r="AA35" i="7" s="1"/>
  <c r="AA36" i="7" s="1"/>
  <c r="AA37" i="7" s="1"/>
  <c r="E43" i="7"/>
  <c r="C31" i="7"/>
  <c r="I44" i="7" s="1"/>
  <c r="D29" i="7"/>
  <c r="E45" i="7" s="1"/>
  <c r="C32" i="11"/>
  <c r="K44" i="11" s="1"/>
  <c r="K43" i="11"/>
  <c r="D31" i="12"/>
  <c r="I45" i="12" s="1"/>
  <c r="B45" i="12"/>
  <c r="E27" i="12"/>
  <c r="F45" i="12"/>
  <c r="D45" i="12"/>
  <c r="J45" i="12"/>
  <c r="H45" i="12"/>
  <c r="D32" i="12"/>
  <c r="K44" i="12"/>
  <c r="E28" i="12"/>
  <c r="C45" i="12"/>
  <c r="G44" i="12"/>
  <c r="D30" i="12"/>
  <c r="E44" i="12"/>
  <c r="D29" i="12"/>
  <c r="G44" i="11"/>
  <c r="G45" i="11"/>
  <c r="E30" i="11"/>
  <c r="E28" i="11"/>
  <c r="C45" i="11"/>
  <c r="D45" i="11"/>
  <c r="J45" i="11"/>
  <c r="H45" i="11"/>
  <c r="F45" i="11"/>
  <c r="B45" i="11"/>
  <c r="E27" i="11"/>
  <c r="I44" i="9"/>
  <c r="D31" i="9"/>
  <c r="E44" i="9"/>
  <c r="D29" i="9"/>
  <c r="D32" i="9"/>
  <c r="K44" i="9"/>
  <c r="E28" i="9"/>
  <c r="C45" i="9"/>
  <c r="D30" i="9"/>
  <c r="G44" i="9"/>
  <c r="J45" i="9"/>
  <c r="F45" i="9"/>
  <c r="H45" i="9"/>
  <c r="D45" i="9"/>
  <c r="B45" i="9"/>
  <c r="E27" i="9"/>
  <c r="D32" i="8"/>
  <c r="K44" i="8"/>
  <c r="G45" i="8"/>
  <c r="E30" i="8"/>
  <c r="E28" i="8"/>
  <c r="C45" i="8"/>
  <c r="F45" i="8"/>
  <c r="H45" i="8"/>
  <c r="D45" i="8"/>
  <c r="B45" i="8"/>
  <c r="E27" i="8"/>
  <c r="J45" i="8"/>
  <c r="D30" i="7"/>
  <c r="G45" i="7" s="1"/>
  <c r="K43" i="7"/>
  <c r="D47" i="7"/>
  <c r="J47" i="7"/>
  <c r="F47" i="7"/>
  <c r="H47" i="7"/>
  <c r="B47" i="7"/>
  <c r="E28" i="7"/>
  <c r="C45" i="7"/>
  <c r="G46" i="21" l="1"/>
  <c r="F30" i="21"/>
  <c r="I47" i="21"/>
  <c r="G47" i="21"/>
  <c r="K46" i="21"/>
  <c r="F32" i="21"/>
  <c r="K47" i="21" s="1"/>
  <c r="F28" i="21"/>
  <c r="C47" i="21" s="1"/>
  <c r="C46" i="21"/>
  <c r="D29" i="11"/>
  <c r="E45" i="11" s="1"/>
  <c r="E31" i="11"/>
  <c r="F31" i="11" s="1"/>
  <c r="D32" i="11"/>
  <c r="E32" i="11" s="1"/>
  <c r="F32" i="19"/>
  <c r="K47" i="19" s="1"/>
  <c r="K46" i="19"/>
  <c r="I46" i="19"/>
  <c r="F31" i="19"/>
  <c r="G46" i="19"/>
  <c r="F30" i="19"/>
  <c r="D31" i="8"/>
  <c r="I45" i="8" s="1"/>
  <c r="D29" i="8"/>
  <c r="E45" i="8" s="1"/>
  <c r="R31" i="7"/>
  <c r="C32" i="7"/>
  <c r="K44" i="7" s="1"/>
  <c r="D31" i="7"/>
  <c r="I45" i="7" s="1"/>
  <c r="E29" i="7"/>
  <c r="F29" i="7" s="1"/>
  <c r="E47" i="7" s="1"/>
  <c r="E31" i="12"/>
  <c r="F31" i="12" s="1"/>
  <c r="E32" i="12"/>
  <c r="K45" i="12"/>
  <c r="E45" i="12"/>
  <c r="E29" i="12"/>
  <c r="H46" i="12"/>
  <c r="F46" i="12"/>
  <c r="F27" i="12"/>
  <c r="D46" i="12"/>
  <c r="B46" i="12"/>
  <c r="J46" i="12"/>
  <c r="C46" i="12"/>
  <c r="F28" i="12"/>
  <c r="C47" i="12" s="1"/>
  <c r="G45" i="12"/>
  <c r="E30" i="12"/>
  <c r="F28" i="11"/>
  <c r="C47" i="11" s="1"/>
  <c r="C46" i="11"/>
  <c r="B46" i="11"/>
  <c r="J46" i="11"/>
  <c r="H46" i="11"/>
  <c r="F46" i="11"/>
  <c r="F27" i="11"/>
  <c r="D46" i="11"/>
  <c r="F30" i="11"/>
  <c r="G46" i="11"/>
  <c r="E31" i="9"/>
  <c r="I45" i="9"/>
  <c r="G45" i="9"/>
  <c r="E30" i="9"/>
  <c r="C46" i="9"/>
  <c r="F28" i="9"/>
  <c r="C47" i="9" s="1"/>
  <c r="K45" i="9"/>
  <c r="E32" i="9"/>
  <c r="H46" i="9"/>
  <c r="F46" i="9"/>
  <c r="F27" i="9"/>
  <c r="D46" i="9"/>
  <c r="B46" i="9"/>
  <c r="J46" i="9"/>
  <c r="E29" i="9"/>
  <c r="E45" i="9"/>
  <c r="H46" i="8"/>
  <c r="F46" i="8"/>
  <c r="B46" i="8"/>
  <c r="J46" i="8"/>
  <c r="D46" i="8"/>
  <c r="F27" i="8"/>
  <c r="K45" i="8"/>
  <c r="E32" i="8"/>
  <c r="F28" i="8"/>
  <c r="C47" i="8" s="1"/>
  <c r="C46" i="8"/>
  <c r="F30" i="8"/>
  <c r="G46" i="8"/>
  <c r="E30" i="7"/>
  <c r="G46" i="7" s="1"/>
  <c r="C46" i="7"/>
  <c r="F28" i="7"/>
  <c r="C47" i="7" s="1"/>
  <c r="I46" i="11" l="1"/>
  <c r="E29" i="11"/>
  <c r="E46" i="11" s="1"/>
  <c r="K45" i="11"/>
  <c r="I47" i="19"/>
  <c r="G47" i="19"/>
  <c r="E31" i="8"/>
  <c r="I46" i="8" s="1"/>
  <c r="E29" i="8"/>
  <c r="F29" i="8" s="1"/>
  <c r="E47" i="8" s="1"/>
  <c r="R32" i="7"/>
  <c r="D32" i="7"/>
  <c r="K45" i="7" s="1"/>
  <c r="E31" i="7"/>
  <c r="I46" i="7" s="1"/>
  <c r="E46" i="7"/>
  <c r="I46" i="12"/>
  <c r="F30" i="12"/>
  <c r="G46" i="12"/>
  <c r="F32" i="12"/>
  <c r="K47" i="12" s="1"/>
  <c r="K46" i="12"/>
  <c r="J47" i="12"/>
  <c r="F47" i="12"/>
  <c r="D47" i="12"/>
  <c r="H47" i="12"/>
  <c r="B47" i="12"/>
  <c r="G47" i="12"/>
  <c r="I47" i="12"/>
  <c r="E46" i="12"/>
  <c r="F29" i="12"/>
  <c r="E47" i="12" s="1"/>
  <c r="H47" i="11"/>
  <c r="J47" i="11"/>
  <c r="D47" i="11"/>
  <c r="B47" i="11"/>
  <c r="F47" i="11"/>
  <c r="I47" i="11"/>
  <c r="G47" i="11"/>
  <c r="F32" i="11"/>
  <c r="K47" i="11" s="1"/>
  <c r="K46" i="11"/>
  <c r="F31" i="9"/>
  <c r="I46" i="9"/>
  <c r="K46" i="9"/>
  <c r="F32" i="9"/>
  <c r="K47" i="9" s="1"/>
  <c r="J47" i="9"/>
  <c r="H47" i="9"/>
  <c r="F47" i="9"/>
  <c r="D47" i="9"/>
  <c r="B47" i="9"/>
  <c r="E46" i="9"/>
  <c r="F29" i="9"/>
  <c r="E47" i="9" s="1"/>
  <c r="F30" i="9"/>
  <c r="G46" i="9"/>
  <c r="F32" i="8"/>
  <c r="K47" i="8" s="1"/>
  <c r="K46" i="8"/>
  <c r="J47" i="8"/>
  <c r="H47" i="8"/>
  <c r="F47" i="8"/>
  <c r="B47" i="8"/>
  <c r="D47" i="8"/>
  <c r="F30" i="7"/>
  <c r="E32" i="7"/>
  <c r="F29" i="11" l="1"/>
  <c r="E47" i="11" s="1"/>
  <c r="F31" i="8"/>
  <c r="I47" i="8" s="1"/>
  <c r="E46" i="8"/>
  <c r="R33" i="7"/>
  <c r="F31" i="7"/>
  <c r="I47" i="7" s="1"/>
  <c r="I47" i="9"/>
  <c r="G47" i="9"/>
  <c r="F32" i="7"/>
  <c r="K47" i="7" s="1"/>
  <c r="K46" i="7"/>
  <c r="G47" i="8" l="1"/>
  <c r="R34" i="7"/>
  <c r="R35" i="7" s="1"/>
  <c r="R36" i="7" s="1"/>
  <c r="G47" i="7"/>
  <c r="R37"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<sst xmlns="http://schemas.openxmlformats.org/spreadsheetml/2006/main" count="688" uniqueCount="210">
  <si>
    <t>Vitality</t>
  </si>
  <si>
    <t>Strength</t>
  </si>
  <si>
    <t>Metabolic</t>
  </si>
  <si>
    <t>Mobility</t>
  </si>
  <si>
    <t>Cognitive</t>
  </si>
  <si>
    <t>Present</t>
  </si>
  <si>
    <t>10 years time</t>
  </si>
  <si>
    <t>Chronological</t>
  </si>
  <si>
    <t>Functional Biological Age</t>
  </si>
  <si>
    <t>20 Years time</t>
  </si>
  <si>
    <t>Thirty years</t>
  </si>
  <si>
    <t>40 years</t>
  </si>
  <si>
    <t>Age</t>
  </si>
  <si>
    <t>Pillar</t>
  </si>
  <si>
    <t>Metric</t>
  </si>
  <si>
    <t>VO2 max (ml/kg/min)</t>
  </si>
  <si>
    <t>FEV1 (% predicted)</t>
  </si>
  <si>
    <t>Strength &amp; Power</t>
  </si>
  <si>
    <t>Grip strength (kg)</t>
  </si>
  <si>
    <t>STS Power (W/kg)</t>
  </si>
  <si>
    <t>Vertical jump (cm)</t>
  </si>
  <si>
    <t>Metabolic Health</t>
  </si>
  <si>
    <t>Body fat (%)</t>
  </si>
  <si>
    <t>Waist to height ratio</t>
  </si>
  <si>
    <t>Fasting glucose (mmol/L)</t>
  </si>
  <si>
    <t>HbA1c (%)</t>
  </si>
  <si>
    <t>HOMA IR</t>
  </si>
  <si>
    <t>ApoB (g/L)</t>
  </si>
  <si>
    <t>hsCRP (mg/L)</t>
  </si>
  <si>
    <t>Functional Mobility</t>
  </si>
  <si>
    <t>Gait speed (m/s)</t>
  </si>
  <si>
    <t>Timed Up and Go (sec)</t>
  </si>
  <si>
    <t>Single leg stance (sec)</t>
  </si>
  <si>
    <t>Sit and reach (cm)</t>
  </si>
  <si>
    <t>Cognitive Performance</t>
  </si>
  <si>
    <t>Processing speed (SD)</t>
  </si>
  <si>
    <t>Working memory (SD)</t>
  </si>
  <si>
    <t>Overall Decline predicitons</t>
  </si>
  <si>
    <t>10 Years (49)</t>
  </si>
  <si>
    <t>20 Years (59)</t>
  </si>
  <si>
    <t>30 Years (69)</t>
  </si>
  <si>
    <t>40 Years (79)</t>
  </si>
  <si>
    <t>Combined Scores</t>
  </si>
  <si>
    <t>Sex</t>
  </si>
  <si>
    <t>Male</t>
  </si>
  <si>
    <t>Age Group</t>
  </si>
  <si>
    <t>10th (Poor)</t>
  </si>
  <si>
    <t>25th (Fair)</t>
  </si>
  <si>
    <t>50th (Average)</t>
  </si>
  <si>
    <t>75th (Good)</t>
  </si>
  <si>
    <t>90th (Excellent)</t>
  </si>
  <si>
    <t>95th (Superior)</t>
  </si>
  <si>
    <t>20-29</t>
  </si>
  <si>
    <t>30-39</t>
  </si>
  <si>
    <t>40-49</t>
  </si>
  <si>
    <t>50-59</t>
  </si>
  <si>
    <t>60-69</t>
  </si>
  <si>
    <t>70-79</t>
  </si>
  <si>
    <t>VO2 Max Male</t>
  </si>
  <si>
    <t>VO2 Max Female</t>
  </si>
  <si>
    <t>Height (inches)</t>
  </si>
  <si>
    <t>Height (cm)</t>
  </si>
  <si>
    <t>Peak Male FEV1 (Liters)</t>
  </si>
  <si>
    <t>Peak Female FEV1 (Liters)</t>
  </si>
  <si>
    <t>FEV1</t>
  </si>
  <si>
    <t>6 foot</t>
  </si>
  <si>
    <t>5 foot</t>
  </si>
  <si>
    <t>Male Grip (kg)</t>
  </si>
  <si>
    <t>Female Grip (kg)</t>
  </si>
  <si>
    <t>Grip Strength</t>
  </si>
  <si>
    <t>Source: https://journals.plos.org/plosone/article?id=10.1371/journal.pone.0113637</t>
  </si>
  <si>
    <t>Male Jump (cm)</t>
  </si>
  <si>
    <t>Female Jump (cm)</t>
  </si>
  <si>
    <t>Vertical Jump</t>
  </si>
  <si>
    <t>https://go.gale.com/ps/i.do?id=GALE%7CA649711026&amp;sid=googleScholar&amp;v=2.1&amp;it=r&amp;linkaccess=abs&amp;issn=08406529&amp;p=AONE&amp;sw=w&amp;userGroupName=anon%7Eda6c86b0&amp;aty=open-web-entry</t>
  </si>
  <si>
    <t>Sit to Stand</t>
  </si>
  <si>
    <t>Male Power (W/kg)</t>
  </si>
  <si>
    <t>Female Power (W/kg)</t>
  </si>
  <si>
    <t>https://www.nature.com/articles/s41598-020-73395-4</t>
  </si>
  <si>
    <t>Male (m/s)</t>
  </si>
  <si>
    <t>Female (m/s)</t>
  </si>
  <si>
    <t>Gait Speed</t>
  </si>
  <si>
    <t>Male (sec)</t>
  </si>
  <si>
    <t>Female (sec)</t>
  </si>
  <si>
    <t>TUG</t>
  </si>
  <si>
    <t>Single Leg Stance</t>
  </si>
  <si>
    <t>Male (cm)</t>
  </si>
  <si>
    <t>Female (cm)</t>
  </si>
  <si>
    <t>Sit and Reach</t>
  </si>
  <si>
    <t>Metabolic Index</t>
  </si>
  <si>
    <t>Metabolic Z score</t>
  </si>
  <si>
    <t>Persona</t>
  </si>
  <si>
    <t>Marcus</t>
  </si>
  <si>
    <t>Detail</t>
  </si>
  <si>
    <t>Marcus works a high-stress finance job but spends his entire weekend mountain biking and playing recreational rugby. He thinks he is fitter than he actually is and relies on youth rather than consistent training to get by.</t>
  </si>
  <si>
    <t>Elena</t>
  </si>
  <si>
    <t>Elena is a former competitive marathon runner who now focuses on swimming and yoga. She is incredibly disciplined with her diet but has noticed a loss of explosive power as she enters menopause.</t>
  </si>
  <si>
    <t xml:space="preserve"> Jayden is a professional e-sports player. While his cognitive reaction times are elite, he survives on energy drinks and fast food, rarely leaving his chair for physical activity.</t>
  </si>
  <si>
    <t>Jayden</t>
  </si>
  <si>
    <t>Arthur</t>
  </si>
  <si>
    <t>Arthur worked in construction his whole life and still lifts heavy weights in his garage. He eats a high-meat diet and ignores cardio, prioritizing raw strength to "stay useful" around the house.</t>
  </si>
  <si>
    <t>Sophie</t>
  </si>
  <si>
    <t>Sophie tracks every metric religiously, practices intermittent fasting, and takes various supplements to optimize longevity. She aims for perfectly balanced metrics rather than excelling in just one sport</t>
  </si>
  <si>
    <t>Chronological Age</t>
  </si>
  <si>
    <t>Graphing</t>
  </si>
  <si>
    <t>Strength Decline</t>
  </si>
  <si>
    <t>Vitality Decline</t>
  </si>
  <si>
    <t>Metabolic Decline</t>
  </si>
  <si>
    <t>Mobility Decline</t>
  </si>
  <si>
    <t>Cognitive Decline</t>
  </si>
  <si>
    <t xml:space="preserve">Strength Decline </t>
  </si>
  <si>
    <t xml:space="preserve">Metabolic Decline </t>
  </si>
  <si>
    <t xml:space="preserve">Mobility Decline </t>
  </si>
  <si>
    <t xml:space="preserve">Cognitive Decline </t>
  </si>
  <si>
    <t>Vitality Decline of an average 20 Year old Man</t>
  </si>
  <si>
    <t>Strength Decline of an average 20 Year old Man</t>
  </si>
  <si>
    <t>Metabolic Decline of an average 20 Year old Man</t>
  </si>
  <si>
    <t>Mobility Decline of an average 20 Year old Man</t>
  </si>
  <si>
    <t>Cognitive Decline of an average 20 Year old Man</t>
  </si>
  <si>
    <t xml:space="preserve"> h</t>
  </si>
  <si>
    <t>Claire</t>
  </si>
  <si>
    <t>Claire is a Chief Operating Officer who runs her life with the same ruthlessness as her company. She sleeps an average of 5 hours a night and manages chronic stress with expensive wine and occasional high-intensity personal training sessions. While her cognitive function is sharp and her external appearance is polished, her internal markers reveal the toll of high cortisol and sleep deprivation.</t>
  </si>
  <si>
    <t>VO2 Max Taken from the Cooper Institue for Aerobics Research Dallas TX</t>
  </si>
  <si>
    <t>You should use a spirometry software package that calculates predicted FEV1 values (and other lung function parameters) based on Global Lung Function Initiative (GLI) 2012 reference equations, inputting the individual's age, sex, height, and ethnicity</t>
  </si>
  <si>
    <t>linked article references canadian health measures suvery which is where normative data originates from</t>
  </si>
  <si>
    <t>Derived from Toledo study for healthy aging in spain</t>
  </si>
  <si>
    <t>Male (Comfortable)</t>
  </si>
  <si>
    <t>Male (Maximum)</t>
  </si>
  <si>
    <t>Female (Comfortable)</t>
  </si>
  <si>
    <t>Female (Maximum)</t>
  </si>
  <si>
    <t>20–29</t>
  </si>
  <si>
    <r>
      <t>2.47</t>
    </r>
    <r>
      <rPr>
        <sz val="10"/>
        <color rgb="FF303030"/>
        <rFont val="Segoe UI"/>
        <family val="2"/>
      </rPr>
      <t> (</t>
    </r>
    <r>
      <rPr>
        <sz val="13.3"/>
        <color rgb="FF303030"/>
        <rFont val="Times New Roman"/>
        <family val="1"/>
      </rPr>
      <t>0.25</t>
    </r>
    <r>
      <rPr>
        <sz val="10"/>
        <color rgb="FF303030"/>
        <rFont val="Segoe UI"/>
        <family val="2"/>
      </rPr>
      <t>)</t>
    </r>
  </si>
  <si>
    <t>30–39</t>
  </si>
  <si>
    <t>40–49</t>
  </si>
  <si>
    <t>50–59</t>
  </si>
  <si>
    <t>60–69</t>
  </si>
  <si>
    <t>70–79</t>
  </si>
  <si>
    <t>Gait speed</t>
  </si>
  <si>
    <t>Bohannon norms Gait speed
Link: https://academic.oup.com/ageing/article-abstract/26/1/15/35875?redirectedFrom=fulltext&amp;login=false</t>
  </si>
  <si>
    <t>Mean Time (Seconds)</t>
  </si>
  <si>
    <t>95% Confidence Interval</t>
  </si>
  <si>
    <r>
      <t>7.1</t>
    </r>
    <r>
      <rPr>
        <sz val="10"/>
        <color rgb="FF303030"/>
        <rFont val="Segoe UI"/>
        <family val="2"/>
      </rPr>
      <t> – </t>
    </r>
    <r>
      <rPr>
        <sz val="13.3"/>
        <color rgb="FF303030"/>
        <rFont val="Times New Roman"/>
        <family val="1"/>
      </rPr>
      <t>9.0</t>
    </r>
  </si>
  <si>
    <r>
      <t>8.2</t>
    </r>
    <r>
      <rPr>
        <sz val="10"/>
        <color rgb="FF303030"/>
        <rFont val="Segoe UI"/>
        <family val="2"/>
      </rPr>
      <t> – </t>
    </r>
    <r>
      <rPr>
        <sz val="13.3"/>
        <color rgb="FF303030"/>
        <rFont val="Times New Roman"/>
        <family val="1"/>
      </rPr>
      <t>10.2</t>
    </r>
  </si>
  <si>
    <t>80–99</t>
  </si>
  <si>
    <r>
      <t>10.0</t>
    </r>
    <r>
      <rPr>
        <sz val="10"/>
        <color rgb="FF303030"/>
        <rFont val="Segoe UI"/>
        <family val="2"/>
      </rPr>
      <t> – </t>
    </r>
    <r>
      <rPr>
        <sz val="13.3"/>
        <color rgb="FF303030"/>
        <rFont val="Times New Roman"/>
        <family val="1"/>
      </rPr>
      <t>12.7</t>
    </r>
  </si>
  <si>
    <t>Timed up and go</t>
  </si>
  <si>
    <t>The Real "Gold Standard" Data
The most cited and reliable source for Timed Up and Go (TUG) norms comes from the meta-analysis by Bohannon (2006).
Source: Reference values for the Timed Up and Go Test: A Descriptive Meta-Analysis, published in the Journal of Geriatric Physical Therapy.
Here is the Bohannon (2006) data. You will notice it doesn't bother with ages under 60, because the test is clinically irrelevant for younger populations unless they have a specific injury.</t>
  </si>
  <si>
    <t>Seems to based off Kearney, P. M., et al. (2013). "Cohort Profile: The Irish Longitudinal Study on Ageing." International Journal of Epidemiology, 40(4), 877-884.</t>
  </si>
  <si>
    <r>
      <t>Eyes OPEN (Mean </t>
    </r>
    <r>
      <rPr>
        <sz val="13.3"/>
        <color rgb="FF303030"/>
        <rFont val="Times New Roman"/>
        <family val="1"/>
      </rPr>
      <t>±</t>
    </r>
    <r>
      <rPr>
        <sz val="10"/>
        <color rgb="FF303030"/>
        <rFont val="Segoe UI"/>
        <family val="2"/>
      </rPr>
      <t> SD)</t>
    </r>
  </si>
  <si>
    <r>
      <t>Eyes CLOSED (Mean </t>
    </r>
    <r>
      <rPr>
        <sz val="13.3"/>
        <color rgb="FF303030"/>
        <rFont val="Times New Roman"/>
        <family val="1"/>
      </rPr>
      <t>±</t>
    </r>
    <r>
      <rPr>
        <sz val="10"/>
        <color rgb="FF303030"/>
        <rFont val="Segoe UI"/>
        <family val="2"/>
      </rPr>
      <t> SD)</t>
    </r>
  </si>
  <si>
    <t>18–39</t>
  </si>
  <si>
    <r>
      <t>45.1</t>
    </r>
    <r>
      <rPr>
        <sz val="10"/>
        <color rgb="FF303030"/>
        <rFont val="Segoe UI"/>
        <family val="2"/>
      </rPr>
      <t> (</t>
    </r>
    <r>
      <rPr>
        <sz val="13.3"/>
        <color rgb="FF303030"/>
        <rFont val="Times New Roman"/>
        <family val="1"/>
      </rPr>
      <t>±0.1</t>
    </r>
    <r>
      <rPr>
        <sz val="10"/>
        <color rgb="FF303030"/>
        <rFont val="Segoe UI"/>
        <family val="2"/>
      </rPr>
      <t>)</t>
    </r>
  </si>
  <si>
    <r>
      <t>13.1</t>
    </r>
    <r>
      <rPr>
        <sz val="10"/>
        <color rgb="FF303030"/>
        <rFont val="Segoe UI"/>
        <family val="2"/>
      </rPr>
      <t> (</t>
    </r>
    <r>
      <rPr>
        <sz val="13.3"/>
        <color rgb="FF303030"/>
        <rFont val="Times New Roman"/>
        <family val="1"/>
      </rPr>
      <t>±10.3</t>
    </r>
    <r>
      <rPr>
        <sz val="10"/>
        <color rgb="FF303030"/>
        <rFont val="Segoe UI"/>
        <family val="2"/>
      </rPr>
      <t>)</t>
    </r>
  </si>
  <si>
    <r>
      <t>42.1</t>
    </r>
    <r>
      <rPr>
        <sz val="10"/>
        <color rgb="FF303030"/>
        <rFont val="Segoe UI"/>
        <family val="2"/>
      </rPr>
      <t> (</t>
    </r>
    <r>
      <rPr>
        <sz val="13.3"/>
        <color rgb="FF303030"/>
        <rFont val="Times New Roman"/>
        <family val="1"/>
      </rPr>
      <t>±9.5</t>
    </r>
    <r>
      <rPr>
        <sz val="10"/>
        <color rgb="FF303030"/>
        <rFont val="Segoe UI"/>
        <family val="2"/>
      </rPr>
      <t>)</t>
    </r>
  </si>
  <si>
    <r>
      <t>13.5</t>
    </r>
    <r>
      <rPr>
        <sz val="10"/>
        <color rgb="FF303030"/>
        <rFont val="Segoe UI"/>
        <family val="2"/>
      </rPr>
      <t> (</t>
    </r>
    <r>
      <rPr>
        <sz val="13.3"/>
        <color rgb="FF303030"/>
        <rFont val="Times New Roman"/>
        <family val="1"/>
      </rPr>
      <t>±8.8</t>
    </r>
    <r>
      <rPr>
        <sz val="10"/>
        <color rgb="FF303030"/>
        <rFont val="Segoe UI"/>
        <family val="2"/>
      </rPr>
      <t>)</t>
    </r>
  </si>
  <si>
    <r>
      <t>40.9</t>
    </r>
    <r>
      <rPr>
        <sz val="10"/>
        <color rgb="FF303030"/>
        <rFont val="Segoe UI"/>
        <family val="2"/>
      </rPr>
      <t> (</t>
    </r>
    <r>
      <rPr>
        <sz val="13.3"/>
        <color rgb="FF303030"/>
        <rFont val="Times New Roman"/>
        <family val="1"/>
      </rPr>
      <t>±9.9</t>
    </r>
    <r>
      <rPr>
        <sz val="10"/>
        <color rgb="FF303030"/>
        <rFont val="Segoe UI"/>
        <family val="2"/>
      </rPr>
      <t>)</t>
    </r>
  </si>
  <si>
    <r>
      <t>7.9</t>
    </r>
    <r>
      <rPr>
        <sz val="10"/>
        <color rgb="FF303030"/>
        <rFont val="Segoe UI"/>
        <family val="2"/>
      </rPr>
      <t> (</t>
    </r>
    <r>
      <rPr>
        <sz val="13.3"/>
        <color rgb="FF303030"/>
        <rFont val="Times New Roman"/>
        <family val="1"/>
      </rPr>
      <t>±6.6</t>
    </r>
    <r>
      <rPr>
        <sz val="10"/>
        <color rgb="FF303030"/>
        <rFont val="Segoe UI"/>
        <family val="2"/>
      </rPr>
      <t>)</t>
    </r>
  </si>
  <si>
    <r>
      <t>30.4</t>
    </r>
    <r>
      <rPr>
        <sz val="10"/>
        <color rgb="FF303030"/>
        <rFont val="Segoe UI"/>
        <family val="2"/>
      </rPr>
      <t> (</t>
    </r>
    <r>
      <rPr>
        <sz val="13.3"/>
        <color rgb="FF303030"/>
        <rFont val="Times New Roman"/>
        <family val="1"/>
      </rPr>
      <t>±16.4</t>
    </r>
    <r>
      <rPr>
        <sz val="10"/>
        <color rgb="FF303030"/>
        <rFont val="Segoe UI"/>
        <family val="2"/>
      </rPr>
      <t>)</t>
    </r>
  </si>
  <si>
    <r>
      <t>3.7</t>
    </r>
    <r>
      <rPr>
        <sz val="10"/>
        <color rgb="FF303030"/>
        <rFont val="Segoe UI"/>
        <family val="2"/>
      </rPr>
      <t> (</t>
    </r>
    <r>
      <rPr>
        <sz val="13.3"/>
        <color rgb="FF303030"/>
        <rFont val="Times New Roman"/>
        <family val="1"/>
      </rPr>
      <t>±1.8</t>
    </r>
    <r>
      <rPr>
        <sz val="10"/>
        <color rgb="FF303030"/>
        <rFont val="Segoe UI"/>
        <family val="2"/>
      </rPr>
      <t>)</t>
    </r>
  </si>
  <si>
    <r>
      <t>16.7</t>
    </r>
    <r>
      <rPr>
        <sz val="10"/>
        <color rgb="FF303030"/>
        <rFont val="Segoe UI"/>
        <family val="2"/>
      </rPr>
      <t> (</t>
    </r>
    <r>
      <rPr>
        <sz val="13.3"/>
        <color rgb="FF303030"/>
        <rFont val="Times New Roman"/>
        <family val="1"/>
      </rPr>
      <t>±15.3</t>
    </r>
    <r>
      <rPr>
        <sz val="10"/>
        <color rgb="FF303030"/>
        <rFont val="Segoe UI"/>
        <family val="2"/>
      </rPr>
      <t>)</t>
    </r>
  </si>
  <si>
    <r>
      <t>2.5</t>
    </r>
    <r>
      <rPr>
        <sz val="10"/>
        <color rgb="FF303030"/>
        <rFont val="Segoe UI"/>
        <family val="2"/>
      </rPr>
      <t> (</t>
    </r>
    <r>
      <rPr>
        <sz val="13.3"/>
        <color rgb="FF303030"/>
        <rFont val="Times New Roman"/>
        <family val="1"/>
      </rPr>
      <t>±1.6</t>
    </r>
    <r>
      <rPr>
        <sz val="10"/>
        <color rgb="FF303030"/>
        <rFont val="Segoe UI"/>
        <family val="2"/>
      </rPr>
      <t>)</t>
    </r>
  </si>
  <si>
    <r>
      <t>10.6</t>
    </r>
    <r>
      <rPr>
        <sz val="10"/>
        <color rgb="FF303030"/>
        <rFont val="Segoe UI"/>
        <family val="2"/>
      </rPr>
      <t> (</t>
    </r>
    <r>
      <rPr>
        <sz val="13.3"/>
        <color rgb="FF303030"/>
        <rFont val="Times New Roman"/>
        <family val="1"/>
      </rPr>
      <t>±12.9</t>
    </r>
    <r>
      <rPr>
        <sz val="10"/>
        <color rgb="FF303030"/>
        <rFont val="Segoe UI"/>
        <family val="2"/>
      </rPr>
      <t>)</t>
    </r>
  </si>
  <si>
    <r>
      <t>1.8</t>
    </r>
    <r>
      <rPr>
        <sz val="10"/>
        <color rgb="FF303030"/>
        <rFont val="Segoe UI"/>
        <family val="2"/>
      </rPr>
      <t> (</t>
    </r>
    <r>
      <rPr>
        <sz val="13.3"/>
        <color rgb="FF303030"/>
        <rFont val="Times New Roman"/>
        <family val="1"/>
      </rPr>
      <t>±1.4</t>
    </r>
    <r>
      <rPr>
        <sz val="10"/>
        <color rgb="FF303030"/>
        <rFont val="Segoe UI"/>
        <family val="2"/>
      </rPr>
      <t>)</t>
    </r>
  </si>
  <si>
    <t>Single Leg stance</t>
  </si>
  <si>
    <t>Springer, B.A., Marin, R., Cyhan, T., Roberts, H. and Gill, N.W. (2007) ‘Normative values for the unipedal stance test with eyes open and closed’, Journal of Geriatric Physical Therapy, 30(1), pp. 8–15</t>
  </si>
  <si>
    <t>60+</t>
  </si>
  <si>
    <t>Sit and reach</t>
  </si>
  <si>
    <t>American College of Sports Medicine (2021) ACSM’s Guidelines for Exercise Testing and Prescription. 11th edn. Philadelphia: Wolters Kluwer</t>
  </si>
  <si>
    <r>
      <t>1.36</t>
    </r>
    <r>
      <rPr>
        <sz val="10"/>
        <color rgb="FF303030"/>
        <rFont val="Segoe UI"/>
        <family val="2"/>
      </rPr>
      <t> </t>
    </r>
  </si>
  <si>
    <r>
      <t>1.43</t>
    </r>
    <r>
      <rPr>
        <sz val="10"/>
        <color rgb="FF303030"/>
        <rFont val="Segoe UI"/>
        <family val="2"/>
      </rPr>
      <t> </t>
    </r>
  </si>
  <si>
    <r>
      <t>1.33</t>
    </r>
    <r>
      <rPr>
        <sz val="10"/>
        <color rgb="FF303030"/>
        <rFont val="Segoe UI"/>
        <family val="2"/>
      </rPr>
      <t> </t>
    </r>
  </si>
  <si>
    <r>
      <t>1.26</t>
    </r>
    <r>
      <rPr>
        <sz val="10"/>
        <color rgb="FF303030"/>
        <rFont val="Segoe UI"/>
        <family val="2"/>
      </rPr>
      <t> </t>
    </r>
  </si>
  <si>
    <r>
      <t>2.46</t>
    </r>
    <r>
      <rPr>
        <sz val="10"/>
        <color rgb="FF303030"/>
        <rFont val="Segoe UI"/>
        <family val="2"/>
      </rPr>
      <t> </t>
    </r>
  </si>
  <si>
    <r>
      <t>1.93</t>
    </r>
    <r>
      <rPr>
        <sz val="10"/>
        <color rgb="FF303030"/>
        <rFont val="Segoe UI"/>
        <family val="2"/>
      </rPr>
      <t> </t>
    </r>
  </si>
  <si>
    <r>
      <t>2.07</t>
    </r>
    <r>
      <rPr>
        <sz val="10"/>
        <color rgb="FF303030"/>
        <rFont val="Segoe UI"/>
        <family val="2"/>
      </rPr>
      <t> </t>
    </r>
  </si>
  <si>
    <r>
      <t>1.34</t>
    </r>
    <r>
      <rPr>
        <sz val="10"/>
        <color rgb="FF303030"/>
        <rFont val="Segoe UI"/>
        <family val="2"/>
      </rPr>
      <t> </t>
    </r>
  </si>
  <si>
    <r>
      <t>1.39</t>
    </r>
    <r>
      <rPr>
        <sz val="10"/>
        <color rgb="FF303030"/>
        <rFont val="Segoe UI"/>
        <family val="2"/>
      </rPr>
      <t> </t>
    </r>
  </si>
  <si>
    <r>
      <t>1.31</t>
    </r>
    <r>
      <rPr>
        <sz val="10"/>
        <color rgb="FF303030"/>
        <rFont val="Segoe UI"/>
        <family val="2"/>
      </rPr>
      <t> </t>
    </r>
  </si>
  <si>
    <r>
      <t>1.24</t>
    </r>
    <r>
      <rPr>
        <sz val="10"/>
        <color rgb="FF303030"/>
        <rFont val="Segoe UI"/>
        <family val="2"/>
      </rPr>
      <t> </t>
    </r>
  </si>
  <si>
    <r>
      <t>1.13</t>
    </r>
    <r>
      <rPr>
        <sz val="10"/>
        <color rgb="FF303030"/>
        <rFont val="Segoe UI"/>
        <family val="2"/>
      </rPr>
      <t> </t>
    </r>
  </si>
  <si>
    <r>
      <t>1.77</t>
    </r>
    <r>
      <rPr>
        <sz val="10"/>
        <color rgb="FF303030"/>
        <rFont val="Segoe UI"/>
        <family val="2"/>
      </rPr>
      <t> </t>
    </r>
  </si>
  <si>
    <r>
      <t>2.01</t>
    </r>
    <r>
      <rPr>
        <sz val="10"/>
        <color rgb="FF303030"/>
        <rFont val="Segoe UI"/>
        <family val="2"/>
      </rPr>
      <t> </t>
    </r>
  </si>
  <si>
    <r>
      <t>2.34</t>
    </r>
    <r>
      <rPr>
        <sz val="10"/>
        <color rgb="FF303030"/>
        <rFont val="Segoe UI"/>
        <family val="2"/>
      </rPr>
      <t> </t>
    </r>
  </si>
  <si>
    <t>ApoB</t>
  </si>
  <si>
    <t>WHtR</t>
  </si>
  <si>
    <t>HOMA</t>
  </si>
  <si>
    <t>HbA1c</t>
  </si>
  <si>
    <t>hscrp</t>
  </si>
  <si>
    <t>Low risk</t>
  </si>
  <si>
    <t>Normal</t>
  </si>
  <si>
    <t>Elevated</t>
  </si>
  <si>
    <t>4.0 - 5.4</t>
  </si>
  <si>
    <t>&lt;1</t>
  </si>
  <si>
    <t>&lt;90</t>
  </si>
  <si>
    <t>&lt;0.5</t>
  </si>
  <si>
    <t>&lt;1.5</t>
  </si>
  <si>
    <t>90 - 129</t>
  </si>
  <si>
    <t xml:space="preserve">0.5 - 0.59 </t>
  </si>
  <si>
    <t>1.5 - 2.4</t>
  </si>
  <si>
    <t>5.5 - 5.6</t>
  </si>
  <si>
    <t>1.0 - 3.0</t>
  </si>
  <si>
    <t>&gt;130</t>
  </si>
  <si>
    <t>&gt;0.6</t>
  </si>
  <si>
    <t>&gt;2.5</t>
  </si>
  <si>
    <t>&gt;5.7</t>
  </si>
  <si>
    <t>&gt;3</t>
  </si>
  <si>
    <t>AgeMin</t>
  </si>
  <si>
    <t>AgeMax</t>
  </si>
  <si>
    <t>BaseIndex</t>
  </si>
  <si>
    <t>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</si>
</sst>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sz val="10"/>
      <color rgb="FF303030"/>
      <name val="Segoe UI"/>
      <family val="2"/>
    </font>
    <font>
      <sz val="10"/>
      <color rgb="FF303030"/>
      <name val="Segoe UI"/>
      <family val="2"/>
    </font>
    <font>
      <sz val="10"/>
      <color rgb="FF303030"/>
      <name val="Segoe UI"/>
      <family val="2"/>
    </font>
    <font>
      <u/>
      <sz val="11"/>
      <color theme="10"/>
      <name val="Aptos Narrow"/>
      <family val="2"/>
      <scheme val="minor"/>
    </font>
    <font>
      <sz val="10"/>
      <color rgb="FF303030"/>
      <name val="Segoe UI"/>
      <family val="2"/>
    </font>
    <font>
      <sz val="13.3"/>
      <color rgb="FF303030"/>
      <name val="Times New Roman"/>
      <family val="1"/>
    </font>
  </fonts>
  <fills count="10">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6F8FA"/>
        <bgColor indexed="64"/>
      </patternFill>
    </fill>
    <fill>
      <patternFill patternType="solid">
        <fgColor rgb="FFFFC000"/>
        <bgColor indexed="64"/>
      </patternFill>
    </fill>
  </fills>
  <borders count="4">
    <border>
      <left/>
      <right/>
      <top/>
      <bottom/>
      <diagonal/>
    </border>
    <border>
      <left style="medium">
        <color rgb="FFD1D9E0"/>
      </left>
      <right style="medium">
        <color rgb="FFD1D9E0"/>
      </right>
      <top style="medium">
        <color rgb="FFD1D9E0"/>
      </top>
      <bottom style="medium">
        <color rgb="FFD1D9E0"/>
      </bottom>
      <diagonal/>
    </border>
    <border>
      <left/>
      <right/>
      <top/>
      <bottom style="medium">
        <color rgb="FFD1D9E0"/>
      </bottom>
      <diagonal/>
    </border>
    <border>
      <left/>
      <right/>
      <top style="medium">
        <color rgb="FFD1D9E0"/>
      </top>
      <bottom/>
      <diagonal/>
    </border>
  </borders>
  <cellStyleXfs count="2">
    <xf numFmtId="0" fontId="0" fillId="0" borderId="0"/>
    <xf numFmtId="0" fontId="4" fillId="0" borderId="0" applyNumberFormat="0" applyFill="0" applyBorder="0" applyAlignment="0" applyProtection="0"/>
  </cellStyleXfs>
  <cellXfs count="46">
    <xf numFmtId="0" fontId="0" fillId="0" borderId="0" xfId="0"/>
    <xf numFmtId="0" fontId="0" fillId="0" borderId="0" xfId="0" applyAlignment="1">
      <alignment horizontal="left" vertical="center"/>
    </xf>
    <xf numFmtId="0" fontId="0" fillId="0" borderId="0" xfId="0" applyAlignment="1">
      <alignment horizontal="center" vertical="center" wrapTex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1" fillId="7" borderId="1" xfId="0" applyFont="1" applyFill="1" applyBorder="1" applyAlignment="1">
      <alignment horizontal="left" vertical="center" wrapText="1" indent="1"/>
    </xf>
    <xf numFmtId="0" fontId="1" fillId="8" borderId="1" xfId="0" applyFont="1" applyFill="1" applyBorder="1" applyAlignment="1">
      <alignment horizontal="left" vertical="center" wrapText="1" indent="1"/>
    </xf>
    <xf numFmtId="164" fontId="0" fillId="2" borderId="0" xfId="0" applyNumberFormat="1" applyFill="1"/>
    <xf numFmtId="0" fontId="3" fillId="7" borderId="1" xfId="0" applyFont="1" applyFill="1" applyBorder="1" applyAlignment="1">
      <alignment horizontal="left" vertical="center" wrapText="1" indent="1"/>
    </xf>
    <xf numFmtId="0" fontId="0" fillId="3" borderId="0" xfId="0" applyFill="1" applyAlignment="1">
      <alignment horizontal="center" vertical="center"/>
    </xf>
    <xf numFmtId="0" fontId="3" fillId="8" borderId="1" xfId="0" applyFont="1" applyFill="1" applyBorder="1" applyAlignment="1">
      <alignment horizontal="left" vertical="center" wrapText="1" indent="1"/>
    </xf>
    <xf numFmtId="0" fontId="0" fillId="6" borderId="0" xfId="0"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9" borderId="0" xfId="0" applyFill="1" applyAlignment="1">
      <alignment horizontal="center" vertical="center"/>
    </xf>
    <xf numFmtId="164" fontId="0" fillId="0" borderId="0" xfId="0" applyNumberFormat="1"/>
    <xf numFmtId="0" fontId="0" fillId="9" borderId="0" xfId="0" applyFill="1" applyAlignment="1">
      <alignment horizontal="center" vertical="center" wrapText="1"/>
    </xf>
    <xf numFmtId="0" fontId="1" fillId="0" borderId="0" xfId="0" applyFont="1" applyAlignment="1">
      <alignment horizontal="center" vertical="center" wrapText="1"/>
    </xf>
    <xf numFmtId="164" fontId="0" fillId="0" borderId="0" xfId="0" applyNumberFormat="1" applyAlignment="1">
      <alignment horizontal="center" vertical="center" wrapText="1"/>
    </xf>
    <xf numFmtId="164" fontId="0" fillId="2" borderId="0" xfId="0" applyNumberFormat="1" applyFill="1" applyAlignment="1">
      <alignment horizontal="center" vertical="center"/>
    </xf>
    <xf numFmtId="0" fontId="1" fillId="7" borderId="1" xfId="0" applyFont="1" applyFill="1" applyBorder="1" applyAlignment="1">
      <alignment horizontal="left" vertical="center"/>
    </xf>
    <xf numFmtId="0" fontId="2" fillId="7" borderId="1" xfId="0" applyFont="1" applyFill="1" applyBorder="1" applyAlignment="1">
      <alignment horizontal="left" vertical="center"/>
    </xf>
    <xf numFmtId="0" fontId="1" fillId="8" borderId="1" xfId="0" applyFont="1" applyFill="1" applyBorder="1" applyAlignment="1">
      <alignment horizontal="left" vertical="center"/>
    </xf>
    <xf numFmtId="0" fontId="2" fillId="8" borderId="1" xfId="0" applyFont="1" applyFill="1" applyBorder="1" applyAlignment="1">
      <alignment horizontal="left" vertical="center"/>
    </xf>
    <xf numFmtId="0" fontId="0" fillId="0" borderId="0" xfId="0" applyAlignment="1">
      <alignment vertical="center" wrapText="1"/>
    </xf>
    <xf numFmtId="0" fontId="5" fillId="7" borderId="1" xfId="0" applyFont="1" applyFill="1" applyBorder="1" applyAlignment="1">
      <alignment horizontal="left" vertical="center" wrapText="1" indent="1"/>
    </xf>
    <xf numFmtId="0" fontId="6" fillId="7" borderId="1" xfId="0" applyFont="1" applyFill="1" applyBorder="1" applyAlignment="1">
      <alignment horizontal="left" vertical="center" wrapText="1" indent="1"/>
    </xf>
    <xf numFmtId="0" fontId="5" fillId="8" borderId="1" xfId="0" applyFont="1" applyFill="1" applyBorder="1" applyAlignment="1">
      <alignment horizontal="left" vertical="center" wrapText="1" indent="1"/>
    </xf>
    <xf numFmtId="0" fontId="6" fillId="8" borderId="1" xfId="0" applyFont="1" applyFill="1" applyBorder="1" applyAlignment="1">
      <alignment horizontal="left" vertical="center" wrapText="1" indent="1"/>
    </xf>
    <xf numFmtId="0" fontId="0" fillId="0" borderId="0" xfId="0" applyAlignment="1">
      <alignment horizontal="center"/>
    </xf>
    <xf numFmtId="0" fontId="0" fillId="0" borderId="0" xfId="0" applyAlignment="1">
      <alignment horizontal="center" vertical="center" wrapText="1"/>
    </xf>
    <xf numFmtId="0" fontId="0" fillId="0" borderId="2" xfId="0" applyBorder="1" applyAlignment="1">
      <alignment horizontal="center"/>
    </xf>
    <xf numFmtId="0" fontId="4" fillId="0" borderId="0" xfId="1" applyAlignment="1">
      <alignment horizontal="center" wrapText="1"/>
    </xf>
    <xf numFmtId="0" fontId="4" fillId="0" borderId="0" xfId="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131781239769767"/>
          <c:y val="0.19499652536483669"/>
          <c:w val="0.85868218760230253"/>
          <c:h val="0.64709814125502552"/>
        </c:manualLayout>
      </c:layout>
      <c:lineChart>
        <c:grouping val="standard"/>
        <c:varyColors val="0"/>
        <c:ser>
          <c:idx val="1"/>
          <c:order val="1"/>
          <c:tx>
            <c:strRef>
              <c:f>Persona_1!$O$26</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2</c:v>
              </c:pt>
              <c:pt idx="1">
                <c:v>3</c:v>
              </c:pt>
              <c:pt idx="2">
                <c:v>4</c:v>
              </c:pt>
              <c:pt idx="3">
                <c:v>5</c:v>
              </c:pt>
              <c:pt idx="4">
                <c:v>6</c:v>
              </c:pt>
              <c:pt idx="5">
                <c:v>7</c:v>
              </c:pt>
              <c:pt idx="6">
                <c:v>8</c:v>
              </c:pt>
              <c:pt idx="7">
                <c:v>9</c:v>
              </c:pt>
              <c:pt idx="8">
                <c:v>10</c:v>
              </c:pt>
              <c:pt idx="9">
                <c:v>11</c:v>
              </c:pt>
              <c:extLst>
                <c:ext xmlns:c15="http://schemas.microsoft.com/office/drawing/2012/chart" uri="{02D57815-91ED-43cb-92C2-25804820EDAC}">
                  <c15:autoCat val="1"/>
                </c:ext>
              </c:extLst>
            </c:strLit>
          </c:cat>
          <c:val>
            <c:numRef>
              <c:f>Persona_1!$O$28:$O$37</c:f>
              <c:numCache>
                <c:formatCode>General</c:formatCode>
                <c:ptCount val="10"/>
                <c:pt idx="0">
                  <c:v>33.235932258064523</c:v>
                </c:pt>
                <c:pt idx="1">
                  <c:v>33.618145479032265</c:v>
                </c:pt>
                <c:pt idx="2">
                  <c:v>34.004754152041137</c:v>
                </c:pt>
                <c:pt idx="3">
                  <c:v>34.395808824789611</c:v>
                </c:pt>
                <c:pt idx="4">
                  <c:v>34.791360626274695</c:v>
                </c:pt>
                <c:pt idx="5">
                  <c:v>35.191461273476854</c:v>
                </c:pt>
                <c:pt idx="6">
                  <c:v>35.59616307812184</c:v>
                </c:pt>
                <c:pt idx="7">
                  <c:v>36.005518953520244</c:v>
                </c:pt>
                <c:pt idx="8">
                  <c:v>36.419582421485728</c:v>
                </c:pt>
                <c:pt idx="9">
                  <c:v>36.838407619332813</c:v>
                </c:pt>
              </c:numCache>
              <c:extLst/>
            </c:numRef>
          </c:val>
          <c:smooth val="0"/>
          <c:extLst>
            <c:ext xmlns:c16="http://schemas.microsoft.com/office/drawing/2014/chart" uri="{C3380CC4-5D6E-409C-BE32-E72D297353CC}">
              <c16:uniqueId val="{00000007-CD3E-4D23-AB07-9FC426D04CD2}"/>
            </c:ext>
          </c:extLst>
        </c:ser>
        <c:dLbls>
          <c:showLegendKey val="0"/>
          <c:showVal val="0"/>
          <c:showCatName val="0"/>
          <c:showSerName val="0"/>
          <c:showPercent val="0"/>
          <c:showBubbleSize val="0"/>
        </c:dLbls>
        <c:marker val="1"/>
        <c:smooth val="0"/>
        <c:axId val="2031514336"/>
        <c:axId val="2031521536"/>
        <c:extLst>
          <c:ext xmlns:c15="http://schemas.microsoft.com/office/drawing/2012/chart" uri="{02D57815-91ED-43cb-92C2-25804820EDAC}">
            <c15:filteredLineSeries>
              <c15:ser>
                <c:idx val="0"/>
                <c:order val="0"/>
                <c:tx>
                  <c:strRef>
                    <c:extLst>
                      <c:ext uri="{02D57815-91ED-43cb-92C2-25804820EDAC}">
                        <c15:formulaRef>
                          <c15:sqref>#REF!</c15:sqref>
                        </c15:formulaRef>
                      </c:ext>
                    </c:extLst>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Lit>
                    <c:ptCount val="0"/>
                  </c:numLit>
                </c:val>
                <c:smooth val="0"/>
                <c:extLst>
                  <c:ext xmlns:c16="http://schemas.microsoft.com/office/drawing/2014/chart" uri="{C3380CC4-5D6E-409C-BE32-E72D297353CC}">
                    <c16:uniqueId val="{00000000-EFB0-4F5C-802C-28784D6972A3}"/>
                  </c:ext>
                </c:extLst>
              </c15:ser>
            </c15:filteredLineSeries>
          </c:ext>
        </c:extLst>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layout>
            <c:manualLayout>
              <c:xMode val="edge"/>
              <c:yMode val="edge"/>
              <c:x val="0.49309035886689284"/>
              <c:y val="0.920790844511897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405224112573161"/>
          <c:y val="5.25532134202173E-2"/>
          <c:w val="0.86337051150475852"/>
          <c:h val="0.77390983117515311"/>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EBC-4472-A4DD-5C7ACD38DC77}"/>
            </c:ext>
          </c:extLst>
        </c:ser>
        <c:ser>
          <c:idx val="1"/>
          <c:order val="1"/>
          <c:tx>
            <c:strRef>
              <c:f>Persona_1!$R$26</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Persona_1!$R$27:$R$37</c:f>
              <c:numCache>
                <c:formatCode>General</c:formatCode>
                <c:ptCount val="11"/>
                <c:pt idx="0">
                  <c:v>37</c:v>
                </c:pt>
                <c:pt idx="1">
                  <c:v>37.455100000000002</c:v>
                </c:pt>
                <c:pt idx="2">
                  <c:v>37.915797730000001</c:v>
                </c:pt>
                <c:pt idx="3">
                  <c:v>38.382162042079003</c:v>
                </c:pt>
                <c:pt idx="4">
                  <c:v>38.854262635196577</c:v>
                </c:pt>
                <c:pt idx="5">
                  <c:v>39.332170065609496</c:v>
                </c:pt>
                <c:pt idx="6">
                  <c:v>39.815955757416496</c:v>
                </c:pt>
                <c:pt idx="7">
                  <c:v>40.305692013232722</c:v>
                </c:pt>
                <c:pt idx="8">
                  <c:v>40.801452024995484</c:v>
                </c:pt>
                <c:pt idx="9">
                  <c:v>41.30330988490293</c:v>
                </c:pt>
                <c:pt idx="10">
                  <c:v>41.811340596487234</c:v>
                </c:pt>
              </c:numCache>
            </c:numRef>
          </c:val>
          <c:smooth val="0"/>
          <c:extLst>
            <c:ext xmlns:c16="http://schemas.microsoft.com/office/drawing/2014/chart" uri="{C3380CC4-5D6E-409C-BE32-E72D297353CC}">
              <c16:uniqueId val="{00000001-5EBC-4472-A4DD-5C7ACD38DC77}"/>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58200675666795"/>
          <c:y val="5.0679566920064499E-2"/>
          <c:w val="0.85023727209390976"/>
          <c:h val="0.74511261420587804"/>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019-4A5E-BEF8-E1AD199FEFE9}"/>
            </c:ext>
          </c:extLst>
        </c:ser>
        <c:ser>
          <c:idx val="1"/>
          <c:order val="1"/>
          <c:tx>
            <c:strRef>
              <c:f>Persona_1!$X$26</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Persona_1!$X$27:$X$37</c:f>
              <c:numCache>
                <c:formatCode>General</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1-9019-4A5E-BEF8-E1AD199FEFE9}"/>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5862395330800683"/>
          <c:y val="0.4781143718472648"/>
          <c:w val="0.32631794271969272"/>
          <c:h val="0.260090338049986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3B32-4670-A566-589D3C0926EB}"/>
            </c:ext>
          </c:extLst>
        </c:ser>
        <c:ser>
          <c:idx val="0"/>
          <c:order val="1"/>
          <c:tx>
            <c:strRef>
              <c:f>Persona_1!$AA$26</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Persona_1!$AA$27:$AA$37</c:f>
              <c:numCache>
                <c:formatCode>General</c:formatCode>
                <c:ptCount val="11"/>
                <c:pt idx="0">
                  <c:v>20</c:v>
                </c:pt>
                <c:pt idx="1">
                  <c:v>20.399999999999999</c:v>
                </c:pt>
                <c:pt idx="2">
                  <c:v>20.808</c:v>
                </c:pt>
                <c:pt idx="3">
                  <c:v>21.224160000000001</c:v>
                </c:pt>
                <c:pt idx="4">
                  <c:v>21.648643200000002</c:v>
                </c:pt>
                <c:pt idx="5">
                  <c:v>22.081616064000002</c:v>
                </c:pt>
                <c:pt idx="6">
                  <c:v>22.523248385280002</c:v>
                </c:pt>
                <c:pt idx="7">
                  <c:v>22.973713352985602</c:v>
                </c:pt>
                <c:pt idx="8">
                  <c:v>23.433187620045313</c:v>
                </c:pt>
                <c:pt idx="9">
                  <c:v>23.90185137244622</c:v>
                </c:pt>
                <c:pt idx="10">
                  <c:v>24.379888399895144</c:v>
                </c:pt>
              </c:numCache>
            </c:numRef>
          </c:val>
          <c:smooth val="0"/>
          <c:extLst>
            <c:ext xmlns:c16="http://schemas.microsoft.com/office/drawing/2014/chart" uri="{C3380CC4-5D6E-409C-BE32-E72D297353CC}">
              <c16:uniqueId val="{00000001-3B32-4670-A566-589D3C0926EB}"/>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solidFill>
            <a:schemeClr val="accent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43006351025993"/>
          <c:y val="5.2923522668466901E-2"/>
          <c:w val="0.85890487295786355"/>
          <c:h val="0.73382688211881997"/>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103-4CC7-9476-84FCAC7937E2}"/>
            </c:ext>
          </c:extLst>
        </c:ser>
        <c:ser>
          <c:idx val="1"/>
          <c:order val="1"/>
          <c:tx>
            <c:strRef>
              <c:f>Persona_1!$X$26</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Persona_1!$U$27:$U$37</c:f>
              <c:numCache>
                <c:formatCode>General</c:formatCode>
                <c:ptCount val="11"/>
                <c:pt idx="0">
                  <c:v>27.457669172932331</c:v>
                </c:pt>
                <c:pt idx="1">
                  <c:v>27.759703533834585</c:v>
                </c:pt>
                <c:pt idx="2">
                  <c:v>28.065060272706766</c:v>
                </c:pt>
                <c:pt idx="3">
                  <c:v>28.37377593570654</c:v>
                </c:pt>
                <c:pt idx="4">
                  <c:v>28.685887470999312</c:v>
                </c:pt>
                <c:pt idx="5">
                  <c:v>29.001432233180303</c:v>
                </c:pt>
                <c:pt idx="6">
                  <c:v>29.320447987745286</c:v>
                </c:pt>
                <c:pt idx="7">
                  <c:v>29.642972915610486</c:v>
                </c:pt>
                <c:pt idx="8">
                  <c:v>29.969045617682202</c:v>
                </c:pt>
                <c:pt idx="9">
                  <c:v>30.298705119476708</c:v>
                </c:pt>
                <c:pt idx="10">
                  <c:v>30.631990875790951</c:v>
                </c:pt>
              </c:numCache>
            </c:numRef>
          </c:val>
          <c:smooth val="0"/>
          <c:extLst>
            <c:ext xmlns:c16="http://schemas.microsoft.com/office/drawing/2014/chart" uri="{C3380CC4-5D6E-409C-BE32-E72D297353CC}">
              <c16:uniqueId val="{00000001-7103-4CC7-9476-84FCAC7937E2}"/>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4544523056401948"/>
          <c:y val="0.48195675348852013"/>
          <c:w val="0.33720014007058591"/>
          <c:h val="0.265603733229632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478029323100737"/>
          <c:y val="0.19499652536483669"/>
          <c:w val="0.84521970676899261"/>
          <c:h val="0.64815197555924631"/>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624-47E5-A412-5B6544AA6A80}"/>
            </c:ext>
          </c:extLst>
        </c:ser>
        <c:ser>
          <c:idx val="1"/>
          <c:order val="1"/>
          <c:tx>
            <c:strRef>
              <c:f>Persona_2!$N$35</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Persona_2!$N$36:$N$46</c:f>
              <c:numCache>
                <c:formatCode>General</c:formatCode>
                <c:ptCount val="11"/>
                <c:pt idx="0" formatCode="0.0">
                  <c:v>-6.0157894736841939</c:v>
                </c:pt>
                <c:pt idx="1">
                  <c:v>-5.9466078947368253</c:v>
                </c:pt>
                <c:pt idx="2">
                  <c:v>-5.8782219039473516</c:v>
                </c:pt>
                <c:pt idx="3">
                  <c:v>-5.8106223520519569</c:v>
                </c:pt>
                <c:pt idx="4">
                  <c:v>-5.7438001950033595</c:v>
                </c:pt>
                <c:pt idx="5">
                  <c:v>-5.6777464927608206</c:v>
                </c:pt>
                <c:pt idx="6">
                  <c:v>-5.6124524080940708</c:v>
                </c:pt>
                <c:pt idx="7">
                  <c:v>-5.5479092054009893</c:v>
                </c:pt>
                <c:pt idx="8">
                  <c:v>-5.4841082495388775</c:v>
                </c:pt>
                <c:pt idx="9">
                  <c:v>-5.4210410046691804</c:v>
                </c:pt>
                <c:pt idx="10">
                  <c:v>-5.3586990331154851</c:v>
                </c:pt>
              </c:numCache>
            </c:numRef>
          </c:val>
          <c:smooth val="0"/>
          <c:extLst>
            <c:ext xmlns:c16="http://schemas.microsoft.com/office/drawing/2014/chart" uri="{C3380CC4-5D6E-409C-BE32-E72D297353CC}">
              <c16:uniqueId val="{00000000-91AA-4E1A-B86A-A202669D561A}"/>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99275695707781"/>
          <c:y val="5.6885508243715924E-2"/>
          <c:w val="0.79892161014663832"/>
          <c:h val="0.73975755453394199"/>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D8D-43F1-BA3F-ADE4AD820A04}"/>
            </c:ext>
          </c:extLst>
        </c:ser>
        <c:ser>
          <c:idx val="1"/>
          <c:order val="1"/>
          <c:tx>
            <c:strRef>
              <c:f>Persona_2!$Q$35</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Persona_2!$Q$36:$Q$46</c:f>
              <c:numCache>
                <c:formatCode>General</c:formatCode>
                <c:ptCount val="11"/>
                <c:pt idx="0">
                  <c:v>53.666666666666671</c:v>
                </c:pt>
                <c:pt idx="1">
                  <c:v>54.326766666666671</c:v>
                </c:pt>
                <c:pt idx="2">
                  <c:v>54.99498589666667</c:v>
                </c:pt>
                <c:pt idx="3">
                  <c:v>55.671424223195672</c:v>
                </c:pt>
                <c:pt idx="4">
                  <c:v>56.356182741140977</c:v>
                </c:pt>
                <c:pt idx="5">
                  <c:v>57.049363788857008</c:v>
                </c:pt>
                <c:pt idx="6">
                  <c:v>57.751070963459952</c:v>
                </c:pt>
                <c:pt idx="7">
                  <c:v>58.461409136310508</c:v>
                </c:pt>
                <c:pt idx="8">
                  <c:v>59.180484468687126</c:v>
                </c:pt>
                <c:pt idx="9">
                  <c:v>59.90840442765198</c:v>
                </c:pt>
                <c:pt idx="10">
                  <c:v>60.645277802112098</c:v>
                </c:pt>
              </c:numCache>
            </c:numRef>
          </c:val>
          <c:smooth val="0"/>
          <c:extLst>
            <c:ext xmlns:c16="http://schemas.microsoft.com/office/drawing/2014/chart" uri="{C3380CC4-5D6E-409C-BE32-E72D297353CC}">
              <c16:uniqueId val="{00000000-B11A-4CC2-AF95-98F23F8BC40F}"/>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4017309390583577"/>
          <c:y val="0.45539475773777288"/>
          <c:w val="0.32407843159324112"/>
          <c:h val="0.387689061268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87315616224683"/>
          <c:y val="5.3307304207270402E-2"/>
          <c:w val="0.85911957632306446"/>
          <c:h val="0.73189669448923822"/>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B46-43D9-AE3A-2FA41D797A7F}"/>
            </c:ext>
          </c:extLst>
        </c:ser>
        <c:ser>
          <c:idx val="1"/>
          <c:order val="1"/>
          <c:tx>
            <c:strRef>
              <c:f>Persona_2!$W$35</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Persona_2!$W$36:$W$46</c:f>
              <c:numCache>
                <c:formatCode>General</c:formatCode>
                <c:ptCount val="11"/>
                <c:pt idx="0">
                  <c:v>44.392857142857146</c:v>
                </c:pt>
                <c:pt idx="1">
                  <c:v>44.832346428571434</c:v>
                </c:pt>
                <c:pt idx="2">
                  <c:v>45.276186658214293</c:v>
                </c:pt>
                <c:pt idx="3">
                  <c:v>45.724420906130618</c:v>
                </c:pt>
                <c:pt idx="4">
                  <c:v>46.177092673101313</c:v>
                </c:pt>
                <c:pt idx="5">
                  <c:v>46.634245890565019</c:v>
                </c:pt>
                <c:pt idx="6">
                  <c:v>47.095924924881615</c:v>
                </c:pt>
                <c:pt idx="7">
                  <c:v>47.56217458163794</c:v>
                </c:pt>
                <c:pt idx="8">
                  <c:v>48.033040109996158</c:v>
                </c:pt>
                <c:pt idx="9">
                  <c:v>48.508567207085122</c:v>
                </c:pt>
                <c:pt idx="10">
                  <c:v>48.988802022435266</c:v>
                </c:pt>
              </c:numCache>
            </c:numRef>
          </c:val>
          <c:smooth val="0"/>
          <c:extLst>
            <c:ext xmlns:c16="http://schemas.microsoft.com/office/drawing/2014/chart" uri="{C3380CC4-5D6E-409C-BE32-E72D297353CC}">
              <c16:uniqueId val="{00000000-5AD2-429D-A77B-E8BB72D80683}"/>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B8E-4B68-B55E-D7D5B33AFFB0}"/>
            </c:ext>
          </c:extLst>
        </c:ser>
        <c:ser>
          <c:idx val="0"/>
          <c:order val="1"/>
          <c:tx>
            <c:strRef>
              <c:f>Persona_2!$Z$35</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Persona_2!$Z$36:$Z$46</c:f>
              <c:numCache>
                <c:formatCode>General</c:formatCode>
                <c:ptCount val="11"/>
                <c:pt idx="0">
                  <c:v>22.2</c:v>
                </c:pt>
                <c:pt idx="1">
                  <c:v>22.643999999999998</c:v>
                </c:pt>
                <c:pt idx="2">
                  <c:v>23.096879999999999</c:v>
                </c:pt>
                <c:pt idx="3">
                  <c:v>23.558817599999998</c:v>
                </c:pt>
                <c:pt idx="4">
                  <c:v>24.029993951999998</c:v>
                </c:pt>
                <c:pt idx="5">
                  <c:v>24.510593831039998</c:v>
                </c:pt>
                <c:pt idx="6">
                  <c:v>25.000805707660799</c:v>
                </c:pt>
                <c:pt idx="7">
                  <c:v>25.500821821814014</c:v>
                </c:pt>
                <c:pt idx="8">
                  <c:v>26.010838258250295</c:v>
                </c:pt>
                <c:pt idx="9">
                  <c:v>26.531055023415302</c:v>
                </c:pt>
                <c:pt idx="10">
                  <c:v>27.061676123883608</c:v>
                </c:pt>
              </c:numCache>
            </c:numRef>
          </c:val>
          <c:smooth val="0"/>
          <c:extLst>
            <c:ext xmlns:c16="http://schemas.microsoft.com/office/drawing/2014/chart" uri="{C3380CC4-5D6E-409C-BE32-E72D297353CC}">
              <c16:uniqueId val="{00000000-C926-4C0B-A56F-63CCDFCADB05}"/>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632719843088"/>
          <c:y val="5.4705194996413034E-2"/>
          <c:w val="0.86267737609931638"/>
          <c:h val="0.72486615436184842"/>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609D-45D4-9AB9-7277EE2EC019}"/>
            </c:ext>
          </c:extLst>
        </c:ser>
        <c:ser>
          <c:idx val="1"/>
          <c:order val="1"/>
          <c:tx>
            <c:strRef>
              <c:f>Persona_2!$T$35</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Persona_2!$T$36:$T$46</c:f>
              <c:numCache>
                <c:formatCode>General</c:formatCode>
                <c:ptCount val="11"/>
                <c:pt idx="0">
                  <c:v>40.962401315789471</c:v>
                </c:pt>
                <c:pt idx="1">
                  <c:v>41.412987730263154</c:v>
                </c:pt>
                <c:pt idx="2">
                  <c:v>41.86853059529605</c:v>
                </c:pt>
                <c:pt idx="3">
                  <c:v>42.329084431844308</c:v>
                </c:pt>
                <c:pt idx="4">
                  <c:v>42.794704360594594</c:v>
                </c:pt>
                <c:pt idx="5">
                  <c:v>43.265446108561136</c:v>
                </c:pt>
                <c:pt idx="6">
                  <c:v>43.741366015755311</c:v>
                </c:pt>
                <c:pt idx="7">
                  <c:v>44.222521041928623</c:v>
                </c:pt>
                <c:pt idx="8">
                  <c:v>44.708968773389834</c:v>
                </c:pt>
                <c:pt idx="9">
                  <c:v>45.20076742989712</c:v>
                </c:pt>
                <c:pt idx="10">
                  <c:v>45.697975871625985</c:v>
                </c:pt>
              </c:numCache>
            </c:numRef>
          </c:val>
          <c:smooth val="0"/>
          <c:extLst>
            <c:ext xmlns:c16="http://schemas.microsoft.com/office/drawing/2014/chart" uri="{C3380CC4-5D6E-409C-BE32-E72D297353CC}">
              <c16:uniqueId val="{00000001-609D-45D4-9AB9-7277EE2EC019}"/>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352386211052921"/>
          <c:y val="8.2315676699609486E-2"/>
          <c:w val="0.8837110540498534"/>
          <c:h val="0.72106431449369734"/>
        </c:manualLayout>
      </c:layout>
      <c:lineChart>
        <c:grouping val="standard"/>
        <c:varyColors val="0"/>
        <c:ser>
          <c:idx val="0"/>
          <c:order val="0"/>
          <c:tx>
            <c:strRef>
              <c:f>Average_20_Year_Old_Man_Pro!$O$32</c:f>
              <c:strCache>
                <c:ptCount val="1"/>
                <c:pt idx="0">
                  <c:v>Vitality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Average_20_Year_Old_Man_Pro!$N$32:$N$43</c15:sqref>
                  </c15:fullRef>
                </c:ext>
              </c:extLst>
              <c:f>Average_20_Year_Old_Man_Pro!$N$33:$N$43</c:f>
              <c:strCache>
                <c:ptCount val="11"/>
                <c:pt idx="0">
                  <c:v>20</c:v>
                </c:pt>
                <c:pt idx="1">
                  <c:v>21</c:v>
                </c:pt>
                <c:pt idx="2">
                  <c:v>22</c:v>
                </c:pt>
                <c:pt idx="3">
                  <c:v>23</c:v>
                </c:pt>
                <c:pt idx="4">
                  <c:v>24</c:v>
                </c:pt>
                <c:pt idx="5">
                  <c:v>25</c:v>
                </c:pt>
                <c:pt idx="6">
                  <c:v>26</c:v>
                </c:pt>
                <c:pt idx="7">
                  <c:v>27</c:v>
                </c:pt>
                <c:pt idx="8">
                  <c:v>28</c:v>
                </c:pt>
                <c:pt idx="9">
                  <c:v>29</c:v>
                </c:pt>
                <c:pt idx="10">
                  <c:v>30</c:v>
                </c:pt>
              </c:strCache>
            </c:strRef>
          </c:cat>
          <c:val>
            <c:numRef>
              <c:extLst>
                <c:ext xmlns:c15="http://schemas.microsoft.com/office/drawing/2012/chart" uri="{02D57815-91ED-43cb-92C2-25804820EDAC}">
                  <c15:fullRef>
                    <c15:sqref>Average_20_Year_Old_Man_Pro!$O$33:$O$43</c15:sqref>
                  </c15:fullRef>
                </c:ext>
              </c:extLst>
              <c:f>Average_20_Year_Old_Man_Pro!$O$34:$O$43</c:f>
              <c:numCache>
                <c:formatCode>General</c:formatCode>
                <c:ptCount val="10"/>
                <c:pt idx="0">
                  <c:v>20.230000000000008</c:v>
                </c:pt>
                <c:pt idx="1">
                  <c:v>20.462645000000009</c:v>
                </c:pt>
                <c:pt idx="2">
                  <c:v>20.697965417500008</c:v>
                </c:pt>
                <c:pt idx="3">
                  <c:v>20.935992019801258</c:v>
                </c:pt>
                <c:pt idx="4">
                  <c:v>21.176755928028971</c:v>
                </c:pt>
                <c:pt idx="5">
                  <c:v>21.420288621201305</c:v>
                </c:pt>
                <c:pt idx="6">
                  <c:v>21.66662194034512</c:v>
                </c:pt>
                <c:pt idx="7">
                  <c:v>21.915788092659088</c:v>
                </c:pt>
                <c:pt idx="8">
                  <c:v>22.167819655724667</c:v>
                </c:pt>
                <c:pt idx="9">
                  <c:v>22.422749581765501</c:v>
                </c:pt>
              </c:numCache>
            </c:numRef>
          </c:val>
          <c:smooth val="0"/>
          <c:extLst>
            <c:ext xmlns:c16="http://schemas.microsoft.com/office/drawing/2014/chart" uri="{C3380CC4-5D6E-409C-BE32-E72D297353CC}">
              <c16:uniqueId val="{00000000-401C-48E8-A016-79D1911C2A41}"/>
            </c:ext>
          </c:extLst>
        </c:ser>
        <c:ser>
          <c:idx val="1"/>
          <c:order val="1"/>
          <c:tx>
            <c:strRef>
              <c:f>Persona_3!$Q$50</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20</c:v>
              </c:pt>
              <c:pt idx="1">
                <c:v>21</c:v>
              </c:pt>
              <c:pt idx="2">
                <c:v>22</c:v>
              </c:pt>
              <c:pt idx="3">
                <c:v>23</c:v>
              </c:pt>
              <c:pt idx="4">
                <c:v>24</c:v>
              </c:pt>
              <c:pt idx="5">
                <c:v>25</c:v>
              </c:pt>
              <c:pt idx="6">
                <c:v>26</c:v>
              </c:pt>
              <c:pt idx="7">
                <c:v>27</c:v>
              </c:pt>
              <c:pt idx="8">
                <c:v>28</c:v>
              </c:pt>
              <c:pt idx="9">
                <c:v>29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Persona_3!$Q$51:$Q$61</c15:sqref>
                  </c15:fullRef>
                </c:ext>
              </c:extLst>
              <c:f>Persona_3!$Q$52:$Q$61</c:f>
              <c:numCache>
                <c:formatCode>General</c:formatCode>
                <c:ptCount val="10"/>
                <c:pt idx="0">
                  <c:v>52.994170833333328</c:v>
                </c:pt>
                <c:pt idx="1">
                  <c:v>53.603603797916662</c:v>
                </c:pt>
                <c:pt idx="2">
                  <c:v>54.2200452415927</c:v>
                </c:pt>
                <c:pt idx="3">
                  <c:v>54.843575761871016</c:v>
                </c:pt>
                <c:pt idx="4">
                  <c:v>55.474276883132532</c:v>
                </c:pt>
                <c:pt idx="5">
                  <c:v>56.112231067288555</c:v>
                </c:pt>
                <c:pt idx="6">
                  <c:v>56.757521724562373</c:v>
                </c:pt>
                <c:pt idx="7">
                  <c:v>57.410233224394844</c:v>
                </c:pt>
                <c:pt idx="8">
                  <c:v>58.070450906475386</c:v>
                </c:pt>
                <c:pt idx="9">
                  <c:v>58.738261091899851</c:v>
                </c:pt>
              </c:numCache>
            </c:numRef>
          </c:val>
          <c:smooth val="0"/>
          <c:extLst>
            <c:ext xmlns:c16="http://schemas.microsoft.com/office/drawing/2014/chart" uri="{C3380CC4-5D6E-409C-BE32-E72D297353CC}">
              <c16:uniqueId val="{00000002-401C-48E8-A016-79D1911C2A41}"/>
            </c:ext>
          </c:extLst>
        </c:ser>
        <c:dLbls>
          <c:showLegendKey val="0"/>
          <c:showVal val="0"/>
          <c:showCatName val="0"/>
          <c:showSerName val="0"/>
          <c:showPercent val="0"/>
          <c:showBubbleSize val="0"/>
        </c:dLbls>
        <c:marker val="1"/>
        <c:smooth val="0"/>
        <c:axId val="2031514336"/>
        <c:axId val="2031521536"/>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689923842903965"/>
          <c:y val="5.1643116124185984E-2"/>
          <c:w val="0.83015447654245511"/>
          <c:h val="0.74026654797745295"/>
        </c:manualLayout>
      </c:layout>
      <c:lineChart>
        <c:grouping val="standard"/>
        <c:varyColors val="0"/>
        <c:ser>
          <c:idx val="0"/>
          <c:order val="0"/>
          <c:tx>
            <c:strRef>
              <c:f>Average_20_Year_Old_Man_Pro!$R$32</c:f>
              <c:strCache>
                <c:ptCount val="1"/>
                <c:pt idx="0">
                  <c:v>Strength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Average_20_Year_Old_Man_Pro!$Q$33:$Q$43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Average_20_Year_Old_Man_Pro!$R$33:$R$43</c:f>
              <c:numCache>
                <c:formatCode>General</c:formatCode>
                <c:ptCount val="11"/>
                <c:pt idx="0">
                  <c:v>19.999999999999996</c:v>
                </c:pt>
                <c:pt idx="1">
                  <c:v>20.245999999999995</c:v>
                </c:pt>
                <c:pt idx="2">
                  <c:v>20.495025799999993</c:v>
                </c:pt>
                <c:pt idx="3">
                  <c:v>20.747114617339992</c:v>
                </c:pt>
                <c:pt idx="4">
                  <c:v>21.002304127133275</c:v>
                </c:pt>
                <c:pt idx="5">
                  <c:v>21.260632467897015</c:v>
                </c:pt>
                <c:pt idx="6">
                  <c:v>21.522138247252148</c:v>
                </c:pt>
                <c:pt idx="7">
                  <c:v>21.786860547693347</c:v>
                </c:pt>
                <c:pt idx="8">
                  <c:v>22.054838932429977</c:v>
                </c:pt>
                <c:pt idx="9">
                  <c:v>22.326113451298866</c:v>
                </c:pt>
                <c:pt idx="10">
                  <c:v>22.600724646749843</c:v>
                </c:pt>
              </c:numCache>
            </c:numRef>
          </c:val>
          <c:smooth val="0"/>
          <c:extLst>
            <c:ext xmlns:c16="http://schemas.microsoft.com/office/drawing/2014/chart" uri="{C3380CC4-5D6E-409C-BE32-E72D297353CC}">
              <c16:uniqueId val="{00000000-DB72-4D30-ACC1-715879121E44}"/>
            </c:ext>
          </c:extLst>
        </c:ser>
        <c:ser>
          <c:idx val="1"/>
          <c:order val="1"/>
          <c:tx>
            <c:strRef>
              <c:f>Persona_3!$T$50</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Persona_3!$T$51:$T$61</c:f>
              <c:numCache>
                <c:formatCode>General</c:formatCode>
                <c:ptCount val="11"/>
                <c:pt idx="0">
                  <c:v>78.928571428571431</c:v>
                </c:pt>
                <c:pt idx="1">
                  <c:v>79.899392857142857</c:v>
                </c:pt>
                <c:pt idx="2">
                  <c:v>80.882155389285714</c:v>
                </c:pt>
                <c:pt idx="3">
                  <c:v>81.877005900573934</c:v>
                </c:pt>
                <c:pt idx="4">
                  <c:v>82.884093073150993</c:v>
                </c:pt>
                <c:pt idx="5">
                  <c:v>83.903567417950754</c:v>
                </c:pt>
                <c:pt idx="6">
                  <c:v>84.935581297191547</c:v>
                </c:pt>
                <c:pt idx="7">
                  <c:v>85.980288947147002</c:v>
                </c:pt>
                <c:pt idx="8">
                  <c:v>87.03784650119691</c:v>
                </c:pt>
                <c:pt idx="9">
                  <c:v>88.108412013161626</c:v>
                </c:pt>
                <c:pt idx="10">
                  <c:v>89.192145480923514</c:v>
                </c:pt>
              </c:numCache>
            </c:numRef>
          </c:val>
          <c:smooth val="0"/>
          <c:extLst>
            <c:ext xmlns:c16="http://schemas.microsoft.com/office/drawing/2014/chart" uri="{C3380CC4-5D6E-409C-BE32-E72D297353CC}">
              <c16:uniqueId val="{00000001-DB72-4D30-ACC1-715879121E4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39194948279868"/>
          <c:y val="5.1963819493239312E-2"/>
          <c:w val="0.87343758731540599"/>
          <c:h val="0.73865360516201217"/>
        </c:manualLayout>
      </c:layout>
      <c:lineChart>
        <c:grouping val="standard"/>
        <c:varyColors val="0"/>
        <c:ser>
          <c:idx val="0"/>
          <c:order val="0"/>
          <c:tx>
            <c:strRef>
              <c:f>Average_20_Year_Old_Man_Pro!$U$32</c:f>
              <c:strCache>
                <c:ptCount val="1"/>
                <c:pt idx="0">
                  <c:v>Metabolic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Average_20_Year_Old_Man_Pro!$T$33:$T$43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Average_20_Year_Old_Man_Pro!$U$33:$U$43</c:f>
              <c:numCache>
                <c:formatCode>General</c:formatCode>
                <c:ptCount val="11"/>
                <c:pt idx="0">
                  <c:v>20.28125</c:v>
                </c:pt>
                <c:pt idx="1">
                  <c:v>20.392796874999998</c:v>
                </c:pt>
                <c:pt idx="2">
                  <c:v>20.504957257812499</c:v>
                </c:pt>
                <c:pt idx="3">
                  <c:v>20.617734522730469</c:v>
                </c:pt>
                <c:pt idx="4">
                  <c:v>20.731132062605486</c:v>
                </c:pt>
                <c:pt idx="5">
                  <c:v>20.845153288949817</c:v>
                </c:pt>
                <c:pt idx="6">
                  <c:v>20.959801632039042</c:v>
                </c:pt>
                <c:pt idx="7">
                  <c:v>21.075080541015257</c:v>
                </c:pt>
                <c:pt idx="8">
                  <c:v>21.190993483990841</c:v>
                </c:pt>
                <c:pt idx="9">
                  <c:v>21.307543948152791</c:v>
                </c:pt>
                <c:pt idx="10">
                  <c:v>21.424735439867632</c:v>
                </c:pt>
              </c:numCache>
            </c:numRef>
          </c:val>
          <c:smooth val="0"/>
          <c:extLst>
            <c:ext xmlns:c16="http://schemas.microsoft.com/office/drawing/2014/chart" uri="{C3380CC4-5D6E-409C-BE32-E72D297353CC}">
              <c16:uniqueId val="{00000000-351A-477D-B669-B61E5D65BCDC}"/>
            </c:ext>
          </c:extLst>
        </c:ser>
        <c:ser>
          <c:idx val="1"/>
          <c:order val="1"/>
          <c:tx>
            <c:strRef>
              <c:f>Persona_3!$W$50</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Persona_3!$W$51:$W$61</c:f>
              <c:numCache>
                <c:formatCode>General</c:formatCode>
                <c:ptCount val="11"/>
                <c:pt idx="0">
                  <c:v>25.132714285714286</c:v>
                </c:pt>
                <c:pt idx="1">
                  <c:v>25.409174142857143</c:v>
                </c:pt>
                <c:pt idx="2">
                  <c:v>25.688675058428572</c:v>
                </c:pt>
                <c:pt idx="3">
                  <c:v>25.971250484071287</c:v>
                </c:pt>
                <c:pt idx="4">
                  <c:v>26.25693423939607</c:v>
                </c:pt>
                <c:pt idx="5">
                  <c:v>26.545760516029429</c:v>
                </c:pt>
                <c:pt idx="6">
                  <c:v>26.837763881705751</c:v>
                </c:pt>
                <c:pt idx="7">
                  <c:v>27.132979284404513</c:v>
                </c:pt>
                <c:pt idx="8">
                  <c:v>27.431442056532962</c:v>
                </c:pt>
                <c:pt idx="9">
                  <c:v>27.733187919154826</c:v>
                </c:pt>
                <c:pt idx="10">
                  <c:v>28.03825298626553</c:v>
                </c:pt>
              </c:numCache>
            </c:numRef>
          </c:val>
          <c:smooth val="0"/>
          <c:extLst>
            <c:ext xmlns:c16="http://schemas.microsoft.com/office/drawing/2014/chart" uri="{C3380CC4-5D6E-409C-BE32-E72D297353CC}">
              <c16:uniqueId val="{00000001-351A-477D-B669-B61E5D65BCDC}"/>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sz="1000" b="0" i="0" u="none" strike="noStrike" kern="1200" baseline="0">
                    <a:solidFill>
                      <a:sysClr val="windowText" lastClr="000000">
                        <a:lumMod val="65000"/>
                        <a:lumOff val="35000"/>
                      </a:sysClr>
                    </a:solidFill>
                  </a:rPr>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8451846993506926"/>
          <c:y val="0.49645571042203773"/>
          <c:w val="0.28844402126354274"/>
          <c:h val="0.25351823923846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43281812046677"/>
          <c:y val="0.16851075490577316"/>
          <c:w val="0.82601923257525622"/>
          <c:h val="0.63011545331515539"/>
        </c:manualLayout>
      </c:layout>
      <c:lineChart>
        <c:grouping val="standard"/>
        <c:varyColors val="0"/>
        <c:ser>
          <c:idx val="0"/>
          <c:order val="0"/>
          <c:tx>
            <c:strRef>
              <c:f>Average_20_Year_Old_Man_Pro!$X$32</c:f>
              <c:strCache>
                <c:ptCount val="1"/>
                <c:pt idx="0">
                  <c:v>Mobility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Average_20_Year_Old_Man_Pro!$W$33:$W$43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Average_20_Year_Old_Man_Pro!$X$33:$X$43</c:f>
              <c:numCache>
                <c:formatCode>General</c:formatCode>
                <c:ptCount val="11"/>
                <c:pt idx="0">
                  <c:v>20</c:v>
                </c:pt>
                <c:pt idx="1">
                  <c:v>20.198</c:v>
                </c:pt>
                <c:pt idx="2">
                  <c:v>20.3979602</c:v>
                </c:pt>
                <c:pt idx="3">
                  <c:v>20.59990000598</c:v>
                </c:pt>
                <c:pt idx="4">
                  <c:v>20.803839016039202</c:v>
                </c:pt>
                <c:pt idx="5">
                  <c:v>21.009797022297992</c:v>
                </c:pt>
                <c:pt idx="6">
                  <c:v>21.217794012818743</c:v>
                </c:pt>
                <c:pt idx="7">
                  <c:v>21.42785017354565</c:v>
                </c:pt>
                <c:pt idx="8">
                  <c:v>21.639985890263752</c:v>
                </c:pt>
                <c:pt idx="9">
                  <c:v>21.854221750577363</c:v>
                </c:pt>
                <c:pt idx="10">
                  <c:v>22.070578545908077</c:v>
                </c:pt>
              </c:numCache>
            </c:numRef>
          </c:val>
          <c:smooth val="0"/>
          <c:extLst>
            <c:ext xmlns:c16="http://schemas.microsoft.com/office/drawing/2014/chart" uri="{C3380CC4-5D6E-409C-BE32-E72D297353CC}">
              <c16:uniqueId val="{00000000-C8F1-4ED1-9823-BD17B41A055B}"/>
            </c:ext>
          </c:extLst>
        </c:ser>
        <c:ser>
          <c:idx val="1"/>
          <c:order val="1"/>
          <c:tx>
            <c:strRef>
              <c:f>Persona_3!$Z$50</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Persona_3!$Z$51:$Z$61</c:f>
              <c:numCache>
                <c:formatCode>General</c:formatCode>
                <c:ptCount val="11"/>
                <c:pt idx="0">
                  <c:v>68</c:v>
                </c:pt>
                <c:pt idx="1">
                  <c:v>68.673199999999994</c:v>
                </c:pt>
                <c:pt idx="2">
                  <c:v>69.353064679999989</c:v>
                </c:pt>
                <c:pt idx="3">
                  <c:v>70.039660020331993</c:v>
                </c:pt>
                <c:pt idx="4">
                  <c:v>70.733052654533282</c:v>
                </c:pt>
                <c:pt idx="5">
                  <c:v>71.433309875813165</c:v>
                </c:pt>
                <c:pt idx="6">
                  <c:v>72.140499643583709</c:v>
                </c:pt>
                <c:pt idx="7">
                  <c:v>72.854690590055185</c:v>
                </c:pt>
                <c:pt idx="8">
                  <c:v>73.575952026896729</c:v>
                </c:pt>
                <c:pt idx="9">
                  <c:v>74.304353951963009</c:v>
                </c:pt>
                <c:pt idx="10">
                  <c:v>75.039967056087448</c:v>
                </c:pt>
              </c:numCache>
            </c:numRef>
          </c:val>
          <c:smooth val="0"/>
          <c:extLst>
            <c:ext xmlns:c16="http://schemas.microsoft.com/office/drawing/2014/chart" uri="{C3380CC4-5D6E-409C-BE32-E72D297353CC}">
              <c16:uniqueId val="{00000001-C8F1-4ED1-9823-BD17B41A055B}"/>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Average_20_Year_Old_Man_Pro!$AA$32</c:f>
              <c:strCache>
                <c:ptCount val="1"/>
                <c:pt idx="0">
                  <c:v>Cognitive Decline of an average 20 Year old 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Average_20_Year_Old_Man_Pro!$Z$33:$Z$43</c:f>
              <c:numCache>
                <c:formatCode>General</c:formatCode>
                <c:ptCount val="11"/>
                <c:pt idx="0">
                  <c:v>20</c:v>
                </c:pt>
                <c:pt idx="1">
                  <c:v>21</c:v>
                </c:pt>
                <c:pt idx="2">
                  <c:v>22</c:v>
                </c:pt>
                <c:pt idx="3">
                  <c:v>23</c:v>
                </c:pt>
                <c:pt idx="4">
                  <c:v>24</c:v>
                </c:pt>
                <c:pt idx="5">
                  <c:v>25</c:v>
                </c:pt>
                <c:pt idx="6">
                  <c:v>26</c:v>
                </c:pt>
                <c:pt idx="7">
                  <c:v>27</c:v>
                </c:pt>
                <c:pt idx="8">
                  <c:v>28</c:v>
                </c:pt>
                <c:pt idx="9">
                  <c:v>29</c:v>
                </c:pt>
                <c:pt idx="10">
                  <c:v>30</c:v>
                </c:pt>
              </c:numCache>
            </c:numRef>
          </c:cat>
          <c:val>
            <c:numRef>
              <c:f>Average_20_Year_Old_Man_Pro!$AA$33:$AA$43</c:f>
              <c:numCache>
                <c:formatCode>General</c:formatCode>
                <c:ptCount val="11"/>
                <c:pt idx="0">
                  <c:v>20</c:v>
                </c:pt>
                <c:pt idx="1">
                  <c:v>20.399999999999999</c:v>
                </c:pt>
                <c:pt idx="2">
                  <c:v>20.808</c:v>
                </c:pt>
                <c:pt idx="3">
                  <c:v>21.224160000000001</c:v>
                </c:pt>
                <c:pt idx="4">
                  <c:v>21.648643200000002</c:v>
                </c:pt>
                <c:pt idx="5">
                  <c:v>22.081616064000002</c:v>
                </c:pt>
                <c:pt idx="6">
                  <c:v>22.523248385280002</c:v>
                </c:pt>
                <c:pt idx="7">
                  <c:v>22.973713352985602</c:v>
                </c:pt>
                <c:pt idx="8">
                  <c:v>23.433187620045313</c:v>
                </c:pt>
                <c:pt idx="9">
                  <c:v>23.90185137244622</c:v>
                </c:pt>
                <c:pt idx="10">
                  <c:v>24.379888399895144</c:v>
                </c:pt>
              </c:numCache>
            </c:numRef>
          </c:val>
          <c:smooth val="0"/>
          <c:extLst>
            <c:ext xmlns:c16="http://schemas.microsoft.com/office/drawing/2014/chart" uri="{C3380CC4-5D6E-409C-BE32-E72D297353CC}">
              <c16:uniqueId val="{00000000-0FE6-43D8-8C44-A3DD64FDDB8A}"/>
            </c:ext>
          </c:extLst>
        </c:ser>
        <c:ser>
          <c:idx val="0"/>
          <c:order val="1"/>
          <c:tx>
            <c:strRef>
              <c:f>Persona_3!$AC$50</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Persona_3!$AC$51:$AC$61</c:f>
              <c:numCache>
                <c:formatCode>General</c:formatCode>
                <c:ptCount val="11"/>
                <c:pt idx="0">
                  <c:v>18</c:v>
                </c:pt>
                <c:pt idx="1">
                  <c:v>18.36</c:v>
                </c:pt>
                <c:pt idx="2">
                  <c:v>18.7272</c:v>
                </c:pt>
                <c:pt idx="3">
                  <c:v>19.101744</c:v>
                </c:pt>
                <c:pt idx="4">
                  <c:v>19.483778879999999</c:v>
                </c:pt>
                <c:pt idx="5">
                  <c:v>19.873454457599998</c:v>
                </c:pt>
                <c:pt idx="6">
                  <c:v>20.270923546751998</c:v>
                </c:pt>
                <c:pt idx="7">
                  <c:v>20.676342017687038</c:v>
                </c:pt>
                <c:pt idx="8">
                  <c:v>21.089868858040777</c:v>
                </c:pt>
                <c:pt idx="9">
                  <c:v>21.511666235201591</c:v>
                </c:pt>
                <c:pt idx="10">
                  <c:v>21.941899559905622</c:v>
                </c:pt>
              </c:numCache>
            </c:numRef>
          </c:val>
          <c:smooth val="0"/>
          <c:extLst>
            <c:ext xmlns:c16="http://schemas.microsoft.com/office/drawing/2014/chart" uri="{C3380CC4-5D6E-409C-BE32-E72D297353CC}">
              <c16:uniqueId val="{00000001-0FE6-43D8-8C44-A3DD64FDDB8A}"/>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238148329108694"/>
          <c:y val="0.13749852387623121"/>
          <c:w val="0.84484216900524778"/>
          <c:h val="0.67794091958454994"/>
        </c:manualLayout>
      </c:layout>
      <c:lineChart>
        <c:grouping val="standard"/>
        <c:varyColors val="0"/>
        <c:ser>
          <c:idx val="1"/>
          <c:order val="1"/>
          <c:tx>
            <c:strRef>
              <c:f>Persona_4!$P$47</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2</c:v>
              </c:pt>
              <c:pt idx="1">
                <c:v>3</c:v>
              </c:pt>
              <c:pt idx="2">
                <c:v>4</c:v>
              </c:pt>
              <c:pt idx="3">
                <c:v>5</c:v>
              </c:pt>
              <c:pt idx="4">
                <c:v>6</c:v>
              </c:pt>
              <c:pt idx="5">
                <c:v>7</c:v>
              </c:pt>
              <c:pt idx="6">
                <c:v>8</c:v>
              </c:pt>
              <c:pt idx="7">
                <c:v>9</c:v>
              </c:pt>
              <c:pt idx="8">
                <c:v>10</c:v>
              </c:pt>
              <c:pt idx="9">
                <c:v>11</c:v>
              </c:pt>
              <c:extLst>
                <c:ext xmlns:c15="http://schemas.microsoft.com/office/drawing/2012/chart" uri="{02D57815-91ED-43cb-92C2-25804820EDAC}">
                  <c15:autoCat val="1"/>
                </c:ext>
              </c:extLst>
            </c:strLit>
          </c:cat>
          <c:val>
            <c:numRef>
              <c:f>Persona_4!$P$49:$P$58</c:f>
              <c:numCache>
                <c:formatCode>General</c:formatCode>
                <c:ptCount val="10"/>
                <c:pt idx="0">
                  <c:v>79.272125827814577</c:v>
                </c:pt>
                <c:pt idx="1">
                  <c:v>80.183755274834439</c:v>
                </c:pt>
                <c:pt idx="2">
                  <c:v>81.105868460495032</c:v>
                </c:pt>
                <c:pt idx="3">
                  <c:v>82.038585947790722</c:v>
                </c:pt>
                <c:pt idx="4">
                  <c:v>82.982029686190316</c:v>
                </c:pt>
                <c:pt idx="5">
                  <c:v>83.936323027581508</c:v>
                </c:pt>
                <c:pt idx="6">
                  <c:v>84.901590742398696</c:v>
                </c:pt>
                <c:pt idx="7">
                  <c:v>85.877959035936286</c:v>
                </c:pt>
                <c:pt idx="8">
                  <c:v>86.865555564849558</c:v>
                </c:pt>
                <c:pt idx="9">
                  <c:v>87.864509453845329</c:v>
                </c:pt>
              </c:numCache>
              <c:extLst/>
            </c:numRef>
          </c:val>
          <c:smooth val="0"/>
          <c:extLst>
            <c:ext xmlns:c16="http://schemas.microsoft.com/office/drawing/2014/chart" uri="{C3380CC4-5D6E-409C-BE32-E72D297353CC}">
              <c16:uniqueId val="{00000001-2F3B-4B2E-A0AE-E4486D3EF559}"/>
            </c:ext>
          </c:extLst>
        </c:ser>
        <c:dLbls>
          <c:showLegendKey val="0"/>
          <c:showVal val="0"/>
          <c:showCatName val="0"/>
          <c:showSerName val="0"/>
          <c:showPercent val="0"/>
          <c:showBubbleSize val="0"/>
        </c:dLbls>
        <c:marker val="1"/>
        <c:smooth val="0"/>
        <c:axId val="2031514336"/>
        <c:axId val="2031521536"/>
        <c:extLst>
          <c:ext xmlns:c15="http://schemas.microsoft.com/office/drawing/2012/chart" uri="{02D57815-91ED-43cb-92C2-25804820EDAC}">
            <c15:filteredLineSeries>
              <c15:ser>
                <c:idx val="0"/>
                <c:order val="0"/>
                <c:tx>
                  <c:strRef>
                    <c:extLst>
                      <c:ext uri="{02D57815-91ED-43cb-92C2-25804820EDAC}">
                        <c15:formulaRef>
                          <c15:sqref>#REF!</c15:sqref>
                        </c15:formulaRef>
                      </c:ext>
                    </c:extLst>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Lit>
                    <c:ptCount val="0"/>
                  </c:numLit>
                </c:val>
                <c:smooth val="0"/>
                <c:extLst>
                  <c:ext xmlns:c16="http://schemas.microsoft.com/office/drawing/2014/chart" uri="{C3380CC4-5D6E-409C-BE32-E72D297353CC}">
                    <c16:uniqueId val="{00000000-2F3B-4B2E-A0AE-E4486D3EF559}"/>
                  </c:ext>
                </c:extLst>
              </c15:ser>
            </c15:filteredLineSeries>
          </c:ext>
        </c:extLst>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4548663144858676"/>
          <c:y val="0.58744368564241844"/>
          <c:w val="0.32392496591833819"/>
          <c:h val="0.266809599840108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372732693723632"/>
          <c:y val="5.2477998308082287E-2"/>
          <c:w val="0.852930829019654"/>
          <c:h val="0.73606759857374038"/>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175-43F5-81AE-8330544153D7}"/>
            </c:ext>
          </c:extLst>
        </c:ser>
        <c:ser>
          <c:idx val="1"/>
          <c:order val="1"/>
          <c:tx>
            <c:strRef>
              <c:f>Persona_4!$S$47</c:f>
              <c:strCache>
                <c:ptCount val="1"/>
                <c:pt idx="0">
                  <c:v>Strength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Persona_4!$S$48:$S$58</c:f>
              <c:numCache>
                <c:formatCode>General</c:formatCode>
                <c:ptCount val="11"/>
                <c:pt idx="0">
                  <c:v>48.125</c:v>
                </c:pt>
                <c:pt idx="1">
                  <c:v>48.7169375</c:v>
                </c:pt>
                <c:pt idx="2">
                  <c:v>49.316155831250001</c:v>
                </c:pt>
                <c:pt idx="3">
                  <c:v>49.922744547974375</c:v>
                </c:pt>
                <c:pt idx="4">
                  <c:v>50.536794305914462</c:v>
                </c:pt>
                <c:pt idx="5">
                  <c:v>51.158396875877209</c:v>
                </c:pt>
                <c:pt idx="6">
                  <c:v>51.787645157450498</c:v>
                </c:pt>
                <c:pt idx="7">
                  <c:v>52.424633192887143</c:v>
                </c:pt>
                <c:pt idx="8">
                  <c:v>53.069456181159651</c:v>
                </c:pt>
                <c:pt idx="9">
                  <c:v>53.722210492187912</c:v>
                </c:pt>
                <c:pt idx="10">
                  <c:v>54.382993681241821</c:v>
                </c:pt>
              </c:numCache>
            </c:numRef>
          </c:val>
          <c:smooth val="0"/>
          <c:extLst>
            <c:ext xmlns:c16="http://schemas.microsoft.com/office/drawing/2014/chart" uri="{C3380CC4-5D6E-409C-BE32-E72D297353CC}">
              <c16:uniqueId val="{00000001-4175-43F5-81AE-8330544153D7}"/>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0444609930467874"/>
          <c:y val="0.46302573788498258"/>
          <c:w val="0.34218595050155537"/>
          <c:h val="0.265839541923351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071336801667793"/>
          <c:y val="5.2885356131956725E-2"/>
          <c:w val="0.84701397747604568"/>
          <c:h val="0.73401883657516398"/>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0B66-4A9B-92DD-E23F0BC4EB6E}"/>
            </c:ext>
          </c:extLst>
        </c:ser>
        <c:ser>
          <c:idx val="1"/>
          <c:order val="1"/>
          <c:tx>
            <c:strRef>
              <c:f>Persona_4!$V$47</c:f>
              <c:strCache>
                <c:ptCount val="1"/>
                <c:pt idx="0">
                  <c:v>Metabolic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Persona_4!$V$48:$V$58</c:f>
              <c:numCache>
                <c:formatCode>General</c:formatCode>
                <c:ptCount val="11"/>
                <c:pt idx="0">
                  <c:v>63.302500000000002</c:v>
                </c:pt>
                <c:pt idx="1">
                  <c:v>63.998827500000004</c:v>
                </c:pt>
                <c:pt idx="2">
                  <c:v>64.702814602499998</c:v>
                </c:pt>
                <c:pt idx="3">
                  <c:v>65.414545563127504</c:v>
                </c:pt>
                <c:pt idx="4">
                  <c:v>66.134105564321914</c:v>
                </c:pt>
                <c:pt idx="5">
                  <c:v>66.86158072552945</c:v>
                </c:pt>
                <c:pt idx="6">
                  <c:v>67.597058113510272</c:v>
                </c:pt>
                <c:pt idx="7">
                  <c:v>68.340625752758882</c:v>
                </c:pt>
                <c:pt idx="8">
                  <c:v>69.092372636039229</c:v>
                </c:pt>
                <c:pt idx="9">
                  <c:v>69.85238873503566</c:v>
                </c:pt>
                <c:pt idx="10">
                  <c:v>70.620765011121051</c:v>
                </c:pt>
              </c:numCache>
            </c:numRef>
          </c:val>
          <c:smooth val="0"/>
          <c:extLst>
            <c:ext xmlns:c16="http://schemas.microsoft.com/office/drawing/2014/chart" uri="{C3380CC4-5D6E-409C-BE32-E72D297353CC}">
              <c16:uniqueId val="{00000001-0B66-4A9B-92DD-E23F0BC4EB6E}"/>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layout>
        <c:manualLayout>
          <c:xMode val="edge"/>
          <c:yMode val="edge"/>
          <c:x val="0.61281793889352321"/>
          <c:y val="0.4867773359938794"/>
          <c:w val="0.33765496386768123"/>
          <c:h val="0.26437460195054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98187762972777"/>
          <c:y val="5.0679566920064499E-2"/>
          <c:w val="0.84621761929904527"/>
          <c:h val="0.74511261420587804"/>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FA0-449F-8A59-1B10FAF1BCCF}"/>
            </c:ext>
          </c:extLst>
        </c:ser>
        <c:ser>
          <c:idx val="1"/>
          <c:order val="1"/>
          <c:tx>
            <c:strRef>
              <c:f>Persona_4!$Y$47</c:f>
              <c:strCache>
                <c:ptCount val="1"/>
                <c:pt idx="0">
                  <c:v>Mobility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Persona_4!$Y$48:$Y$58</c:f>
              <c:numCache>
                <c:formatCode>General</c:formatCode>
                <c:ptCount val="11"/>
                <c:pt idx="0">
                  <c:v>80.25</c:v>
                </c:pt>
                <c:pt idx="1">
                  <c:v>81.044475000000006</c:v>
                </c:pt>
                <c:pt idx="2">
                  <c:v>81.846815302500005</c:v>
                </c:pt>
                <c:pt idx="3">
                  <c:v>82.657098773994761</c:v>
                </c:pt>
                <c:pt idx="4">
                  <c:v>83.475404051857311</c:v>
                </c:pt>
                <c:pt idx="5">
                  <c:v>84.301810551970704</c:v>
                </c:pt>
                <c:pt idx="6">
                  <c:v>85.136398476435218</c:v>
                </c:pt>
                <c:pt idx="7">
                  <c:v>85.979248821351931</c:v>
                </c:pt>
                <c:pt idx="8">
                  <c:v>86.830443384683321</c:v>
                </c:pt>
                <c:pt idx="9">
                  <c:v>87.690064774191683</c:v>
                </c:pt>
                <c:pt idx="10">
                  <c:v>88.55819641545618</c:v>
                </c:pt>
              </c:numCache>
            </c:numRef>
          </c:val>
          <c:smooth val="0"/>
          <c:extLst>
            <c:ext xmlns:c16="http://schemas.microsoft.com/office/drawing/2014/chart" uri="{C3380CC4-5D6E-409C-BE32-E72D297353CC}">
              <c16:uniqueId val="{00000001-9FA0-449F-8A59-1B10FAF1BCCF}"/>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layout>
        <c:manualLayout>
          <c:xMode val="edge"/>
          <c:yMode val="edge"/>
          <c:x val="0.63434526952352532"/>
          <c:y val="0.46889990513452579"/>
          <c:w val="0.3239628497590778"/>
          <c:h val="0.26045660534647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CF7-4929-A7F2-88939132A069}"/>
            </c:ext>
          </c:extLst>
        </c:ser>
        <c:ser>
          <c:idx val="0"/>
          <c:order val="1"/>
          <c:tx>
            <c:strRef>
              <c:f>Persona_4!$AB$47</c:f>
              <c:strCache>
                <c:ptCount val="1"/>
                <c:pt idx="0">
                  <c:v>Cognitive Decline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Persona_4!$AB$48:$AB$58</c:f>
              <c:numCache>
                <c:formatCode>General</c:formatCode>
                <c:ptCount val="11"/>
                <c:pt idx="0">
                  <c:v>71.300000000000011</c:v>
                </c:pt>
                <c:pt idx="1">
                  <c:v>72.726000000000013</c:v>
                </c:pt>
                <c:pt idx="2">
                  <c:v>74.180520000000016</c:v>
                </c:pt>
                <c:pt idx="3">
                  <c:v>75.664130400000019</c:v>
                </c:pt>
                <c:pt idx="4">
                  <c:v>77.177413008000016</c:v>
                </c:pt>
                <c:pt idx="5">
                  <c:v>78.720961268160011</c:v>
                </c:pt>
                <c:pt idx="6">
                  <c:v>80.295380493523211</c:v>
                </c:pt>
                <c:pt idx="7">
                  <c:v>81.901288103393682</c:v>
                </c:pt>
                <c:pt idx="8">
                  <c:v>83.539313865461551</c:v>
                </c:pt>
                <c:pt idx="9">
                  <c:v>85.210100142770784</c:v>
                </c:pt>
                <c:pt idx="10">
                  <c:v>86.914302145626195</c:v>
                </c:pt>
              </c:numCache>
            </c:numRef>
          </c:val>
          <c:smooth val="0"/>
          <c:extLst>
            <c:ext xmlns:c16="http://schemas.microsoft.com/office/drawing/2014/chart" uri="{C3380CC4-5D6E-409C-BE32-E72D297353CC}">
              <c16:uniqueId val="{00000001-1CF7-4929-A7F2-88939132A069}"/>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478029323100737"/>
          <c:y val="0.19499652536483669"/>
          <c:w val="0.84521970676899261"/>
          <c:h val="0.64815197555924631"/>
        </c:manualLayout>
      </c:layout>
      <c:lineChart>
        <c:grouping val="standard"/>
        <c:varyColors val="0"/>
        <c:ser>
          <c:idx val="1"/>
          <c:order val="1"/>
          <c:tx>
            <c:strRef>
              <c:f>'Persona_6 '!$N$35</c:f>
              <c:strCache>
                <c:ptCount val="1"/>
                <c:pt idx="0">
                  <c:v>Vitality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2</c:v>
              </c:pt>
              <c:pt idx="1">
                <c:v>3</c:v>
              </c:pt>
              <c:pt idx="2">
                <c:v>4</c:v>
              </c:pt>
              <c:pt idx="3">
                <c:v>5</c:v>
              </c:pt>
              <c:pt idx="4">
                <c:v>6</c:v>
              </c:pt>
              <c:pt idx="5">
                <c:v>7</c:v>
              </c:pt>
              <c:pt idx="6">
                <c:v>8</c:v>
              </c:pt>
              <c:pt idx="7">
                <c:v>9</c:v>
              </c:pt>
              <c:pt idx="8">
                <c:v>10</c:v>
              </c:pt>
              <c:pt idx="9">
                <c:v>11</c:v>
              </c:pt>
              <c:extLst>
                <c:ext xmlns:c15="http://schemas.microsoft.com/office/drawing/2012/chart" uri="{02D57815-91ED-43cb-92C2-25804820EDAC}">
                  <c15:autoCat val="1"/>
                </c:ext>
              </c:extLst>
            </c:strLit>
          </c:cat>
          <c:val>
            <c:numRef>
              <c:f>'Persona_6 '!$N$37:$N$46</c:f>
              <c:numCache>
                <c:formatCode>General</c:formatCode>
                <c:ptCount val="10"/>
                <c:pt idx="0">
                  <c:v>24.379531578947386</c:v>
                </c:pt>
                <c:pt idx="1">
                  <c:v>24.09916696578949</c:v>
                </c:pt>
                <c:pt idx="2">
                  <c:v>23.82202654568291</c:v>
                </c:pt>
                <c:pt idx="3">
                  <c:v>23.548073240407557</c:v>
                </c:pt>
                <c:pt idx="4">
                  <c:v>23.277270398142871</c:v>
                </c:pt>
                <c:pt idx="5">
                  <c:v>23.00958178856423</c:v>
                </c:pt>
                <c:pt idx="6">
                  <c:v>22.74497159799574</c:v>
                </c:pt>
                <c:pt idx="7">
                  <c:v>22.48340442461879</c:v>
                </c:pt>
                <c:pt idx="8">
                  <c:v>22.224845273735674</c:v>
                </c:pt>
                <c:pt idx="9">
                  <c:v>21.969259553087713</c:v>
                </c:pt>
              </c:numCache>
              <c:extLst/>
            </c:numRef>
          </c:val>
          <c:smooth val="0"/>
          <c:extLst>
            <c:ext xmlns:c16="http://schemas.microsoft.com/office/drawing/2014/chart" uri="{C3380CC4-5D6E-409C-BE32-E72D297353CC}">
              <c16:uniqueId val="{00000001-975E-45EE-8B26-E15383EDC0F3}"/>
            </c:ext>
          </c:extLst>
        </c:ser>
        <c:dLbls>
          <c:showLegendKey val="0"/>
          <c:showVal val="0"/>
          <c:showCatName val="0"/>
          <c:showSerName val="0"/>
          <c:showPercent val="0"/>
          <c:showBubbleSize val="0"/>
        </c:dLbls>
        <c:marker val="1"/>
        <c:smooth val="0"/>
        <c:axId val="2031514336"/>
        <c:axId val="2031521536"/>
        <c:extLst>
          <c:ext xmlns:c15="http://schemas.microsoft.com/office/drawing/2012/chart" uri="{02D57815-91ED-43cb-92C2-25804820EDAC}">
            <c15:filteredLineSeries>
              <c15:ser>
                <c:idx val="0"/>
                <c:order val="0"/>
                <c:tx>
                  <c:strRef>
                    <c:extLst>
                      <c:ext uri="{02D57815-91ED-43cb-92C2-25804820EDAC}">
                        <c15:formulaRef>
                          <c15:sqref>#REF!</c15:sqref>
                        </c15:formulaRef>
                      </c:ext>
                    </c:extLst>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mc:AlternateContent xmlns:mc="http://schemas.openxmlformats.org/markup-compatibility/2006">
                    <mc:Choice xmlns:c16ac="http://schemas.microsoft.com/office/drawing/2014/chart/ac" Requires="c16ac">
                      <c16ac:multiLvlStrLit>
                        <c:ptCount val="0"/>
                      </c16ac:multiLvlStrLit>
                    </mc:Choice>
                    <mc:Fallback>
                      <c:strLit/>
                    </mc:Fallback>
                  </mc:AlternateContent>
                </c:cat>
                <c:val>
                  <c:numLit>
                    <c:ptCount val="0"/>
                  </c:numLit>
                </c:val>
                <c:smooth val="0"/>
                <c:extLst>
                  <c:ext xmlns:c16="http://schemas.microsoft.com/office/drawing/2014/chart" uri="{C3380CC4-5D6E-409C-BE32-E72D297353CC}">
                    <c16:uniqueId val="{00000000-975E-45EE-8B26-E15383EDC0F3}"/>
                  </c:ext>
                </c:extLst>
              </c15:ser>
            </c15:filteredLineSeries>
          </c:ext>
        </c:extLst>
      </c:lineChart>
      <c:catAx>
        <c:axId val="2031514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1536"/>
        <c:crosses val="autoZero"/>
        <c:auto val="1"/>
        <c:lblAlgn val="ctr"/>
        <c:lblOffset val="100"/>
        <c:noMultiLvlLbl val="0"/>
      </c:catAx>
      <c:valAx>
        <c:axId val="203152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Vitality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4336"/>
        <c:crosses val="autoZero"/>
        <c:crossBetween val="between"/>
      </c:valAx>
      <c:spPr>
        <a:noFill/>
        <a:ln>
          <a:noFill/>
        </a:ln>
        <a:effectLst/>
      </c:spPr>
    </c:plotArea>
    <c:legend>
      <c:legendPos val="r"/>
      <c:layout>
        <c:manualLayout>
          <c:xMode val="edge"/>
          <c:yMode val="edge"/>
          <c:x val="0.69713743558530528"/>
          <c:y val="0.57777971638680992"/>
          <c:w val="0.2835790981107626"/>
          <c:h val="0.39080924047289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799275695707781"/>
          <c:y val="5.6885508243715924E-2"/>
          <c:w val="0.79892161014663832"/>
          <c:h val="0.73975755453394199"/>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9C4C-4E5C-9183-4E28EB49D634}"/>
            </c:ext>
          </c:extLst>
        </c:ser>
        <c:ser>
          <c:idx val="1"/>
          <c:order val="1"/>
          <c:tx>
            <c:strRef>
              <c:f>'Persona_6 '!$Q$35</c:f>
              <c:strCache>
                <c:ptCount val="1"/>
                <c:pt idx="0">
                  <c:v>Strength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'!$Q$36:$Q$46</c:f>
              <c:numCache>
                <c:formatCode>General</c:formatCode>
                <c:ptCount val="11"/>
                <c:pt idx="0">
                  <c:v>43.333333333333329</c:v>
                </c:pt>
                <c:pt idx="1">
                  <c:v>43.86633333333333</c:v>
                </c:pt>
                <c:pt idx="2">
                  <c:v>44.405889233333333</c:v>
                </c:pt>
                <c:pt idx="3">
                  <c:v>44.952081670903333</c:v>
                </c:pt>
                <c:pt idx="4">
                  <c:v>45.504992275455443</c:v>
                </c:pt>
                <c:pt idx="5">
                  <c:v>46.064703680443543</c:v>
                </c:pt>
                <c:pt idx="6">
                  <c:v>46.631299535712998</c:v>
                </c:pt>
                <c:pt idx="7">
                  <c:v>47.204864520002268</c:v>
                </c:pt>
                <c:pt idx="8">
                  <c:v>47.785484353598292</c:v>
                </c:pt>
                <c:pt idx="9">
                  <c:v>48.373245811147548</c:v>
                </c:pt>
                <c:pt idx="10">
                  <c:v>48.968236734624661</c:v>
                </c:pt>
              </c:numCache>
            </c:numRef>
          </c:val>
          <c:smooth val="0"/>
          <c:extLst>
            <c:ext xmlns:c16="http://schemas.microsoft.com/office/drawing/2014/chart" uri="{C3380CC4-5D6E-409C-BE32-E72D297353CC}">
              <c16:uniqueId val="{00000001-9C4C-4E5C-9183-4E28EB49D634}"/>
            </c:ext>
          </c:extLst>
        </c:ser>
        <c:dLbls>
          <c:showLegendKey val="0"/>
          <c:showVal val="0"/>
          <c:showCatName val="0"/>
          <c:showSerName val="0"/>
          <c:showPercent val="0"/>
          <c:showBubbleSize val="0"/>
        </c:dLbls>
        <c:marker val="1"/>
        <c:smooth val="0"/>
        <c:axId val="2031512896"/>
        <c:axId val="2031515776"/>
      </c:lineChart>
      <c:catAx>
        <c:axId val="203151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5776"/>
        <c:crosses val="autoZero"/>
        <c:auto val="1"/>
        <c:lblAlgn val="ctr"/>
        <c:lblOffset val="100"/>
        <c:noMultiLvlLbl val="0"/>
      </c:catAx>
      <c:valAx>
        <c:axId val="203151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Strength</a:t>
                </a:r>
                <a:r>
                  <a:rPr lang="en-IE" baseline="0"/>
                  <a:t> Score</a:t>
                </a:r>
                <a:endParaRPr lang="en-I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12896"/>
        <c:crosses val="autoZero"/>
        <c:crossBetween val="between"/>
      </c:valAx>
      <c:spPr>
        <a:noFill/>
        <a:ln>
          <a:noFill/>
        </a:ln>
        <a:effectLst/>
      </c:spPr>
    </c:plotArea>
    <c:legend>
      <c:legendPos val="r"/>
      <c:layout>
        <c:manualLayout>
          <c:xMode val="edge"/>
          <c:yMode val="edge"/>
          <c:x val="0.64017309390583577"/>
          <c:y val="0.45539475773777288"/>
          <c:w val="0.32407843159324112"/>
          <c:h val="0.3876890612681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87315616224683"/>
          <c:y val="5.3307304207270402E-2"/>
          <c:w val="0.85911957632306446"/>
          <c:h val="0.73189669448923822"/>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1F5-40D7-8BA8-575D680BBE3B}"/>
            </c:ext>
          </c:extLst>
        </c:ser>
        <c:ser>
          <c:idx val="1"/>
          <c:order val="1"/>
          <c:tx>
            <c:strRef>
              <c:f>'Persona_6 '!$W$35</c:f>
              <c:strCache>
                <c:ptCount val="1"/>
                <c:pt idx="0">
                  <c:v>Mobility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'!$W$36:$W$46</c:f>
              <c:numCache>
                <c:formatCode>General</c:formatCode>
                <c:ptCount val="11"/>
                <c:pt idx="0">
                  <c:v>#N/A</c:v>
                </c:pt>
                <c:pt idx="1">
                  <c:v>#N/A</c:v>
                </c:pt>
                <c:pt idx="2">
                  <c:v>#N/A</c:v>
                </c:pt>
                <c:pt idx="3">
                  <c:v>#N/A</c:v>
                </c:pt>
                <c:pt idx="4">
                  <c:v>#N/A</c:v>
                </c:pt>
                <c:pt idx="5">
                  <c:v>#N/A</c:v>
                </c:pt>
                <c:pt idx="6">
                  <c:v>#N/A</c:v>
                </c:pt>
                <c:pt idx="7">
                  <c:v>#N/A</c:v>
                </c:pt>
                <c:pt idx="8">
                  <c:v>#N/A</c:v>
                </c:pt>
                <c:pt idx="9">
                  <c:v>#N/A</c:v>
                </c:pt>
                <c:pt idx="10">
                  <c:v>#N/A</c:v>
                </c:pt>
              </c:numCache>
            </c:numRef>
          </c:val>
          <c:smooth val="0"/>
          <c:extLst>
            <c:ext xmlns:c16="http://schemas.microsoft.com/office/drawing/2014/chart" uri="{C3380CC4-5D6E-409C-BE32-E72D297353CC}">
              <c16:uniqueId val="{00000001-81F5-40D7-8BA8-575D680BBE3B}"/>
            </c:ext>
          </c:extLst>
        </c:ser>
        <c:dLbls>
          <c:showLegendKey val="0"/>
          <c:showVal val="0"/>
          <c:showCatName val="0"/>
          <c:showSerName val="0"/>
          <c:showPercent val="0"/>
          <c:showBubbleSize val="0"/>
        </c:dLbls>
        <c:marker val="1"/>
        <c:smooth val="0"/>
        <c:axId val="431036896"/>
        <c:axId val="431034976"/>
      </c:lineChart>
      <c:catAx>
        <c:axId val="43103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a:t>
                </a:r>
                <a:r>
                  <a:rPr lang="en-IE" baseline="0"/>
                  <a:t> Age</a:t>
                </a:r>
                <a:endParaRPr lang="en-I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4976"/>
        <c:crosses val="autoZero"/>
        <c:auto val="1"/>
        <c:lblAlgn val="ctr"/>
        <c:lblOffset val="100"/>
        <c:noMultiLvlLbl val="0"/>
      </c:catAx>
      <c:valAx>
        <c:axId val="431034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Mobility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03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D8A3-440E-9EF5-CA93831E7A95}"/>
            </c:ext>
          </c:extLst>
        </c:ser>
        <c:ser>
          <c:idx val="0"/>
          <c:order val="1"/>
          <c:tx>
            <c:strRef>
              <c:f>'Persona_6 '!$Z$35</c:f>
              <c:strCache>
                <c:ptCount val="1"/>
                <c:pt idx="0">
                  <c:v>Cognitive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'!$Z$36:$Z$46</c:f>
              <c:numCache>
                <c:formatCode>General</c:formatCode>
                <c:ptCount val="11"/>
                <c:pt idx="0">
                  <c:v>18</c:v>
                </c:pt>
                <c:pt idx="1">
                  <c:v>18.36</c:v>
                </c:pt>
                <c:pt idx="2">
                  <c:v>18.7272</c:v>
                </c:pt>
                <c:pt idx="3">
                  <c:v>19.101744</c:v>
                </c:pt>
                <c:pt idx="4">
                  <c:v>19.483778879999999</c:v>
                </c:pt>
                <c:pt idx="5">
                  <c:v>19.873454457599998</c:v>
                </c:pt>
                <c:pt idx="6">
                  <c:v>20.270923546751998</c:v>
                </c:pt>
                <c:pt idx="7">
                  <c:v>20.676342017687038</c:v>
                </c:pt>
                <c:pt idx="8">
                  <c:v>21.089868858040777</c:v>
                </c:pt>
                <c:pt idx="9">
                  <c:v>21.511666235201591</c:v>
                </c:pt>
                <c:pt idx="10">
                  <c:v>21.941899559905622</c:v>
                </c:pt>
              </c:numCache>
            </c:numRef>
          </c:val>
          <c:smooth val="0"/>
          <c:extLst>
            <c:ext xmlns:c16="http://schemas.microsoft.com/office/drawing/2014/chart" uri="{C3380CC4-5D6E-409C-BE32-E72D297353CC}">
              <c16:uniqueId val="{00000001-D8A3-440E-9EF5-CA93831E7A95}"/>
            </c:ext>
          </c:extLst>
        </c:ser>
        <c:dLbls>
          <c:showLegendKey val="0"/>
          <c:showVal val="0"/>
          <c:showCatName val="0"/>
          <c:showSerName val="0"/>
          <c:showPercent val="0"/>
          <c:showBubbleSize val="0"/>
        </c:dLbls>
        <c:marker val="1"/>
        <c:smooth val="0"/>
        <c:axId val="779619231"/>
        <c:axId val="779615391"/>
      </c:lineChart>
      <c:catAx>
        <c:axId val="779619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5391"/>
        <c:crosses val="autoZero"/>
        <c:auto val="1"/>
        <c:lblAlgn val="ctr"/>
        <c:lblOffset val="100"/>
        <c:noMultiLvlLbl val="0"/>
      </c:catAx>
      <c:valAx>
        <c:axId val="77961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Cognitive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619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632719843088"/>
          <c:y val="5.4705194996413034E-2"/>
          <c:w val="0.86267737609931638"/>
          <c:h val="0.72486615436184842"/>
        </c:manualLayout>
      </c:layout>
      <c:lineChart>
        <c:grouping val="standard"/>
        <c:varyColors val="0"/>
        <c:ser>
          <c:idx val="0"/>
          <c:order val="0"/>
          <c:tx>
            <c:strRef>
              <c:f>#REF!</c:f>
              <c:strCache>
                <c:ptCount val="1"/>
                <c:pt idx="0">
                  <c:v>#REF!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#REF!</c:f>
              <c:numCache>
                <c:formatCode>General</c:formatCode>
                <c:ptCount val="1"/>
                <c:pt idx="0">
                  <c:v>1</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7F1-489A-B2E5-E98267FA7B48}"/>
            </c:ext>
          </c:extLst>
        </c:ser>
        <c:ser>
          <c:idx val="1"/>
          <c:order val="1"/>
          <c:tx>
            <c:strRef>
              <c:f>'Persona_6 '!$T$35</c:f>
              <c:strCache>
                <c:ptCount val="1"/>
                <c:pt idx="0">
                  <c:v>Metabolic Decline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'Persona_6 '!$T$36:$T$46</c:f>
              <c:numCache>
                <c:formatCode>General</c:formatCode>
                <c:ptCount val="11"/>
                <c:pt idx="0">
                  <c:v>47.176977443609019</c:v>
                </c:pt>
                <c:pt idx="1">
                  <c:v>47.695924195488715</c:v>
                </c:pt>
                <c:pt idx="2">
                  <c:v>48.220579361639089</c:v>
                </c:pt>
                <c:pt idx="3">
                  <c:v>48.751005734617117</c:v>
                </c:pt>
                <c:pt idx="4">
                  <c:v>49.287266797697903</c:v>
                </c:pt>
                <c:pt idx="5">
                  <c:v>49.829426732472577</c:v>
                </c:pt>
                <c:pt idx="6">
                  <c:v>50.377550426529773</c:v>
                </c:pt>
                <c:pt idx="7">
                  <c:v>50.931703481221604</c:v>
                </c:pt>
                <c:pt idx="8">
                  <c:v>51.491952219515042</c:v>
                </c:pt>
                <c:pt idx="9">
                  <c:v>52.058363693929707</c:v>
                </c:pt>
                <c:pt idx="10">
                  <c:v>52.63100569456293</c:v>
                </c:pt>
              </c:numCache>
            </c:numRef>
          </c:val>
          <c:smooth val="0"/>
          <c:extLst>
            <c:ext xmlns:c16="http://schemas.microsoft.com/office/drawing/2014/chart" uri="{C3380CC4-5D6E-409C-BE32-E72D297353CC}">
              <c16:uniqueId val="{00000001-C7F1-489A-B2E5-E98267FA7B48}"/>
            </c:ext>
          </c:extLst>
        </c:ser>
        <c:dLbls>
          <c:showLegendKey val="0"/>
          <c:showVal val="0"/>
          <c:showCatName val="0"/>
          <c:showSerName val="0"/>
          <c:showPercent val="0"/>
          <c:showBubbleSize val="0"/>
        </c:dLbls>
        <c:marker val="1"/>
        <c:smooth val="0"/>
        <c:axId val="392219744"/>
        <c:axId val="392216384"/>
      </c:lineChart>
      <c:catAx>
        <c:axId val="39221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Chronological 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6384"/>
        <c:crosses val="autoZero"/>
        <c:auto val="1"/>
        <c:lblAlgn val="ctr"/>
        <c:lblOffset val="100"/>
        <c:noMultiLvlLbl val="0"/>
      </c:catAx>
      <c:valAx>
        <c:axId val="39221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E"/>
                  <a:t>Metabolic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21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13</xdr:col>
      <xdr:colOff>38626</xdr:colOff>
      <xdr:row>40</xdr:row>
      <xdr:rowOff>12038</xdr:rowOff>
    </xdr:from>
    <xdr:to>
      <xdr:col>17</xdr:col>
      <xdr:colOff>555979</xdr:colOff>
      <xdr:row>56</xdr:row>
      <xdr:rowOff>20265</xdr:rowOff>
    </xdr:to>
    <xdr:graphicFrame macro="">
      <xdr:nvGraphicFramePr>
        <xdr:cNvPr id="6" name="Chart 5">
          <a:extLst>
            <a:ext uri="{FF2B5EF4-FFF2-40B4-BE49-F238E27FC236}">
              <a16:creationId xmlns:a16="http://schemas.microsoft.com/office/drawing/2014/main" id="{9886003F-1117-40BA-95EA-5D6BC9147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784050</xdr:colOff>
      <xdr:row>40</xdr:row>
      <xdr:rowOff>36115</xdr:rowOff>
    </xdr:from>
    <xdr:to>
      <xdr:col>22</xdr:col>
      <xdr:colOff>121596</xdr:colOff>
      <xdr:row>56</xdr:row>
      <xdr:rowOff>50665</xdr:rowOff>
    </xdr:to>
    <xdr:graphicFrame macro="">
      <xdr:nvGraphicFramePr>
        <xdr:cNvPr id="3" name="Chart 2">
          <a:extLst>
            <a:ext uri="{FF2B5EF4-FFF2-40B4-BE49-F238E27FC236}">
              <a16:creationId xmlns:a16="http://schemas.microsoft.com/office/drawing/2014/main" id="{F43AC942-A423-4019-95DF-A05CF444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314122</xdr:colOff>
      <xdr:row>40</xdr:row>
      <xdr:rowOff>111462</xdr:rowOff>
    </xdr:from>
    <xdr:to>
      <xdr:col>30</xdr:col>
      <xdr:colOff>20387</xdr:colOff>
      <xdr:row>55</xdr:row>
      <xdr:rowOff>128283</xdr:rowOff>
    </xdr:to>
    <xdr:graphicFrame macro="">
      <xdr:nvGraphicFramePr>
        <xdr:cNvPr id="4" name="Chart 3">
          <a:extLst>
            <a:ext uri="{FF2B5EF4-FFF2-40B4-BE49-F238E27FC236}">
              <a16:creationId xmlns:a16="http://schemas.microsoft.com/office/drawing/2014/main" id="{C46BEE29-5C88-41E7-90F3-C074FEAA3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988022</xdr:colOff>
      <xdr:row>57</xdr:row>
      <xdr:rowOff>112059</xdr:rowOff>
    </xdr:from>
    <xdr:to>
      <xdr:col>25</xdr:col>
      <xdr:colOff>311859</xdr:colOff>
      <xdr:row>72</xdr:row>
      <xdr:rowOff>150607</xdr:rowOff>
    </xdr:to>
    <xdr:graphicFrame macro="">
      <xdr:nvGraphicFramePr>
        <xdr:cNvPr id="5" name="Chart 4">
          <a:extLst>
            <a:ext uri="{FF2B5EF4-FFF2-40B4-BE49-F238E27FC236}">
              <a16:creationId xmlns:a16="http://schemas.microsoft.com/office/drawing/2014/main" id="{B37DB5BC-A691-4CB1-BCDA-195F1874F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728382</xdr:colOff>
      <xdr:row>57</xdr:row>
      <xdr:rowOff>168088</xdr:rowOff>
    </xdr:from>
    <xdr:to>
      <xdr:col>17</xdr:col>
      <xdr:colOff>1077782</xdr:colOff>
      <xdr:row>72</xdr:row>
      <xdr:rowOff>120239</xdr:rowOff>
    </xdr:to>
    <xdr:graphicFrame macro="">
      <xdr:nvGraphicFramePr>
        <xdr:cNvPr id="2" name="Chart 1">
          <a:extLst>
            <a:ext uri="{FF2B5EF4-FFF2-40B4-BE49-F238E27FC236}">
              <a16:creationId xmlns:a16="http://schemas.microsoft.com/office/drawing/2014/main" id="{1027A0EB-EA0E-4158-B10A-45D5D67B8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872777</xdr:colOff>
      <xdr:row>5</xdr:row>
      <xdr:rowOff>54879</xdr:rowOff>
    </xdr:from>
    <xdr:to>
      <xdr:col>19</xdr:col>
      <xdr:colOff>482972</xdr:colOff>
      <xdr:row>14</xdr:row>
      <xdr:rowOff>341900</xdr:rowOff>
    </xdr:to>
    <xdr:graphicFrame macro="">
      <xdr:nvGraphicFramePr>
        <xdr:cNvPr id="2" name="Chart 1">
          <a:extLst>
            <a:ext uri="{FF2B5EF4-FFF2-40B4-BE49-F238E27FC236}">
              <a16:creationId xmlns:a16="http://schemas.microsoft.com/office/drawing/2014/main" id="{71A553D5-7A75-4A90-B937-5BF7A0193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1778116</xdr:colOff>
      <xdr:row>4</xdr:row>
      <xdr:rowOff>97038</xdr:rowOff>
    </xdr:from>
    <xdr:to>
      <xdr:col>26</xdr:col>
      <xdr:colOff>406063</xdr:colOff>
      <xdr:row>14</xdr:row>
      <xdr:rowOff>38921</xdr:rowOff>
    </xdr:to>
    <xdr:graphicFrame macro="">
      <xdr:nvGraphicFramePr>
        <xdr:cNvPr id="3" name="Chart 2">
          <a:extLst>
            <a:ext uri="{FF2B5EF4-FFF2-40B4-BE49-F238E27FC236}">
              <a16:creationId xmlns:a16="http://schemas.microsoft.com/office/drawing/2014/main" id="{D50863D8-913F-4793-A5AC-EBA9C6242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763056</xdr:colOff>
      <xdr:row>15</xdr:row>
      <xdr:rowOff>343971</xdr:rowOff>
    </xdr:from>
    <xdr:to>
      <xdr:col>22</xdr:col>
      <xdr:colOff>354078</xdr:colOff>
      <xdr:row>28</xdr:row>
      <xdr:rowOff>41885</xdr:rowOff>
    </xdr:to>
    <xdr:graphicFrame macro="">
      <xdr:nvGraphicFramePr>
        <xdr:cNvPr id="4" name="Chart 3">
          <a:extLst>
            <a:ext uri="{FF2B5EF4-FFF2-40B4-BE49-F238E27FC236}">
              <a16:creationId xmlns:a16="http://schemas.microsoft.com/office/drawing/2014/main" id="{5BB9995B-2AE9-4ADE-B6D2-41CBC0ED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75270</xdr:colOff>
      <xdr:row>16</xdr:row>
      <xdr:rowOff>59652</xdr:rowOff>
    </xdr:from>
    <xdr:to>
      <xdr:col>33</xdr:col>
      <xdr:colOff>211602</xdr:colOff>
      <xdr:row>28</xdr:row>
      <xdr:rowOff>85025</xdr:rowOff>
    </xdr:to>
    <xdr:graphicFrame macro="">
      <xdr:nvGraphicFramePr>
        <xdr:cNvPr id="5" name="Chart 4">
          <a:extLst>
            <a:ext uri="{FF2B5EF4-FFF2-40B4-BE49-F238E27FC236}">
              <a16:creationId xmlns:a16="http://schemas.microsoft.com/office/drawing/2014/main" id="{895A79D7-D3E2-4C95-BB35-FE7721EEF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39144</xdr:colOff>
      <xdr:row>3</xdr:row>
      <xdr:rowOff>221816</xdr:rowOff>
    </xdr:from>
    <xdr:to>
      <xdr:col>35</xdr:col>
      <xdr:colOff>576218</xdr:colOff>
      <xdr:row>13</xdr:row>
      <xdr:rowOff>162105</xdr:rowOff>
    </xdr:to>
    <xdr:graphicFrame macro="">
      <xdr:nvGraphicFramePr>
        <xdr:cNvPr id="6" name="Chart 5">
          <a:extLst>
            <a:ext uri="{FF2B5EF4-FFF2-40B4-BE49-F238E27FC236}">
              <a16:creationId xmlns:a16="http://schemas.microsoft.com/office/drawing/2014/main" id="{AF9251BF-E735-4982-BB96-F61E34437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280147</xdr:colOff>
      <xdr:row>14</xdr:row>
      <xdr:rowOff>145677</xdr:rowOff>
    </xdr:from>
    <xdr:to>
      <xdr:col>16</xdr:col>
      <xdr:colOff>1135964</xdr:colOff>
      <xdr:row>25</xdr:row>
      <xdr:rowOff>157444</xdr:rowOff>
    </xdr:to>
    <xdr:graphicFrame macro="">
      <xdr:nvGraphicFramePr>
        <xdr:cNvPr id="2" name="Chart 1">
          <a:extLst>
            <a:ext uri="{FF2B5EF4-FFF2-40B4-BE49-F238E27FC236}">
              <a16:creationId xmlns:a16="http://schemas.microsoft.com/office/drawing/2014/main" id="{43E43E78-E5CC-414E-8627-B28CC64AA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49908</xdr:colOff>
      <xdr:row>14</xdr:row>
      <xdr:rowOff>156123</xdr:rowOff>
    </xdr:from>
    <xdr:to>
      <xdr:col>20</xdr:col>
      <xdr:colOff>573586</xdr:colOff>
      <xdr:row>25</xdr:row>
      <xdr:rowOff>175625</xdr:rowOff>
    </xdr:to>
    <xdr:graphicFrame macro="">
      <xdr:nvGraphicFramePr>
        <xdr:cNvPr id="3" name="Chart 2">
          <a:extLst>
            <a:ext uri="{FF2B5EF4-FFF2-40B4-BE49-F238E27FC236}">
              <a16:creationId xmlns:a16="http://schemas.microsoft.com/office/drawing/2014/main" id="{D596ED08-BF3E-4880-A4E6-C103E310C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168156</xdr:colOff>
      <xdr:row>14</xdr:row>
      <xdr:rowOff>163741</xdr:rowOff>
    </xdr:from>
    <xdr:to>
      <xdr:col>29</xdr:col>
      <xdr:colOff>48164</xdr:colOff>
      <xdr:row>25</xdr:row>
      <xdr:rowOff>162738</xdr:rowOff>
    </xdr:to>
    <xdr:graphicFrame macro="">
      <xdr:nvGraphicFramePr>
        <xdr:cNvPr id="4" name="Chart 3">
          <a:extLst>
            <a:ext uri="{FF2B5EF4-FFF2-40B4-BE49-F238E27FC236}">
              <a16:creationId xmlns:a16="http://schemas.microsoft.com/office/drawing/2014/main" id="{56746AC2-6F52-4625-9141-F45956303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518950</xdr:colOff>
      <xdr:row>26</xdr:row>
      <xdr:rowOff>97744</xdr:rowOff>
    </xdr:from>
    <xdr:to>
      <xdr:col>19</xdr:col>
      <xdr:colOff>82895</xdr:colOff>
      <xdr:row>42</xdr:row>
      <xdr:rowOff>24367</xdr:rowOff>
    </xdr:to>
    <xdr:graphicFrame macro="">
      <xdr:nvGraphicFramePr>
        <xdr:cNvPr id="5" name="Chart 4">
          <a:extLst>
            <a:ext uri="{FF2B5EF4-FFF2-40B4-BE49-F238E27FC236}">
              <a16:creationId xmlns:a16="http://schemas.microsoft.com/office/drawing/2014/main" id="{BAFD6E37-FC39-43FA-8CF0-A71C12478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1700647</xdr:colOff>
      <xdr:row>28</xdr:row>
      <xdr:rowOff>163905</xdr:rowOff>
    </xdr:from>
    <xdr:to>
      <xdr:col>27</xdr:col>
      <xdr:colOff>355264</xdr:colOff>
      <xdr:row>44</xdr:row>
      <xdr:rowOff>77625</xdr:rowOff>
    </xdr:to>
    <xdr:graphicFrame macro="">
      <xdr:nvGraphicFramePr>
        <xdr:cNvPr id="6" name="Chart 5">
          <a:extLst>
            <a:ext uri="{FF2B5EF4-FFF2-40B4-BE49-F238E27FC236}">
              <a16:creationId xmlns:a16="http://schemas.microsoft.com/office/drawing/2014/main" id="{6F8140E0-EFF9-4864-B30B-F235B4AEE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283724</xdr:colOff>
      <xdr:row>14</xdr:row>
      <xdr:rowOff>192527</xdr:rowOff>
    </xdr:from>
    <xdr:to>
      <xdr:col>16</xdr:col>
      <xdr:colOff>1102554</xdr:colOff>
      <xdr:row>25</xdr:row>
      <xdr:rowOff>109051</xdr:rowOff>
    </xdr:to>
    <xdr:graphicFrame macro="">
      <xdr:nvGraphicFramePr>
        <xdr:cNvPr id="2" name="Chart 1">
          <a:extLst>
            <a:ext uri="{FF2B5EF4-FFF2-40B4-BE49-F238E27FC236}">
              <a16:creationId xmlns:a16="http://schemas.microsoft.com/office/drawing/2014/main" id="{3F9DA801-61AF-4943-9C13-012274392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11962</xdr:colOff>
      <xdr:row>12</xdr:row>
      <xdr:rowOff>176384</xdr:rowOff>
    </xdr:from>
    <xdr:to>
      <xdr:col>20</xdr:col>
      <xdr:colOff>532668</xdr:colOff>
      <xdr:row>23</xdr:row>
      <xdr:rowOff>102548</xdr:rowOff>
    </xdr:to>
    <xdr:graphicFrame macro="">
      <xdr:nvGraphicFramePr>
        <xdr:cNvPr id="3" name="Chart 2">
          <a:extLst>
            <a:ext uri="{FF2B5EF4-FFF2-40B4-BE49-F238E27FC236}">
              <a16:creationId xmlns:a16="http://schemas.microsoft.com/office/drawing/2014/main" id="{3340B0C7-50BF-4CA9-B453-E606DD929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132605</xdr:colOff>
      <xdr:row>14</xdr:row>
      <xdr:rowOff>210591</xdr:rowOff>
    </xdr:from>
    <xdr:to>
      <xdr:col>28</xdr:col>
      <xdr:colOff>265761</xdr:colOff>
      <xdr:row>25</xdr:row>
      <xdr:rowOff>112440</xdr:rowOff>
    </xdr:to>
    <xdr:graphicFrame macro="">
      <xdr:nvGraphicFramePr>
        <xdr:cNvPr id="4" name="Chart 3">
          <a:extLst>
            <a:ext uri="{FF2B5EF4-FFF2-40B4-BE49-F238E27FC236}">
              <a16:creationId xmlns:a16="http://schemas.microsoft.com/office/drawing/2014/main" id="{55130A1E-1F86-4BCA-A2AE-BE754A4C0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491192</xdr:colOff>
      <xdr:row>26</xdr:row>
      <xdr:rowOff>36726</xdr:rowOff>
    </xdr:from>
    <xdr:to>
      <xdr:col>19</xdr:col>
      <xdr:colOff>45462</xdr:colOff>
      <xdr:row>41</xdr:row>
      <xdr:rowOff>53547</xdr:rowOff>
    </xdr:to>
    <xdr:graphicFrame macro="">
      <xdr:nvGraphicFramePr>
        <xdr:cNvPr id="5" name="Chart 4">
          <a:extLst>
            <a:ext uri="{FF2B5EF4-FFF2-40B4-BE49-F238E27FC236}">
              <a16:creationId xmlns:a16="http://schemas.microsoft.com/office/drawing/2014/main" id="{772AB92C-8DA3-48A2-9088-47EC5962A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1657317</xdr:colOff>
      <xdr:row>28</xdr:row>
      <xdr:rowOff>99891</xdr:rowOff>
    </xdr:from>
    <xdr:to>
      <xdr:col>26</xdr:col>
      <xdr:colOff>585248</xdr:colOff>
      <xdr:row>43</xdr:row>
      <xdr:rowOff>90042</xdr:rowOff>
    </xdr:to>
    <xdr:graphicFrame macro="">
      <xdr:nvGraphicFramePr>
        <xdr:cNvPr id="6" name="Chart 5">
          <a:extLst>
            <a:ext uri="{FF2B5EF4-FFF2-40B4-BE49-F238E27FC236}">
              <a16:creationId xmlns:a16="http://schemas.microsoft.com/office/drawing/2014/main" id="{1E602C1E-D6A2-4E2F-B00E-B46594AFE4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872777</xdr:colOff>
      <xdr:row>5</xdr:row>
      <xdr:rowOff>54879</xdr:rowOff>
    </xdr:from>
    <xdr:to>
      <xdr:col>19</xdr:col>
      <xdr:colOff>482972</xdr:colOff>
      <xdr:row>14</xdr:row>
      <xdr:rowOff>341900</xdr:rowOff>
    </xdr:to>
    <xdr:graphicFrame macro="">
      <xdr:nvGraphicFramePr>
        <xdr:cNvPr id="2" name="Chart 1">
          <a:extLst>
            <a:ext uri="{FF2B5EF4-FFF2-40B4-BE49-F238E27FC236}">
              <a16:creationId xmlns:a16="http://schemas.microsoft.com/office/drawing/2014/main" id="{B5E5D32D-B77C-4F5E-B86E-F2972D49D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1778116</xdr:colOff>
      <xdr:row>4</xdr:row>
      <xdr:rowOff>97038</xdr:rowOff>
    </xdr:from>
    <xdr:to>
      <xdr:col>26</xdr:col>
      <xdr:colOff>406063</xdr:colOff>
      <xdr:row>14</xdr:row>
      <xdr:rowOff>38921</xdr:rowOff>
    </xdr:to>
    <xdr:graphicFrame macro="">
      <xdr:nvGraphicFramePr>
        <xdr:cNvPr id="3" name="Chart 2">
          <a:extLst>
            <a:ext uri="{FF2B5EF4-FFF2-40B4-BE49-F238E27FC236}">
              <a16:creationId xmlns:a16="http://schemas.microsoft.com/office/drawing/2014/main" id="{2D6F96BA-B1AD-43CB-913B-CB930FE6F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763056</xdr:colOff>
      <xdr:row>15</xdr:row>
      <xdr:rowOff>343971</xdr:rowOff>
    </xdr:from>
    <xdr:to>
      <xdr:col>22</xdr:col>
      <xdr:colOff>354078</xdr:colOff>
      <xdr:row>28</xdr:row>
      <xdr:rowOff>41885</xdr:rowOff>
    </xdr:to>
    <xdr:graphicFrame macro="">
      <xdr:nvGraphicFramePr>
        <xdr:cNvPr id="4" name="Chart 3">
          <a:extLst>
            <a:ext uri="{FF2B5EF4-FFF2-40B4-BE49-F238E27FC236}">
              <a16:creationId xmlns:a16="http://schemas.microsoft.com/office/drawing/2014/main" id="{9228200A-F37A-4AB8-BB6F-8A3969CE6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75270</xdr:colOff>
      <xdr:row>16</xdr:row>
      <xdr:rowOff>59652</xdr:rowOff>
    </xdr:from>
    <xdr:to>
      <xdr:col>33</xdr:col>
      <xdr:colOff>211602</xdr:colOff>
      <xdr:row>28</xdr:row>
      <xdr:rowOff>85025</xdr:rowOff>
    </xdr:to>
    <xdr:graphicFrame macro="">
      <xdr:nvGraphicFramePr>
        <xdr:cNvPr id="5" name="Chart 4">
          <a:extLst>
            <a:ext uri="{FF2B5EF4-FFF2-40B4-BE49-F238E27FC236}">
              <a16:creationId xmlns:a16="http://schemas.microsoft.com/office/drawing/2014/main" id="{E8A25141-6104-4036-AC3C-811D92AD3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39144</xdr:colOff>
      <xdr:row>3</xdr:row>
      <xdr:rowOff>221816</xdr:rowOff>
    </xdr:from>
    <xdr:to>
      <xdr:col>35</xdr:col>
      <xdr:colOff>576218</xdr:colOff>
      <xdr:row>13</xdr:row>
      <xdr:rowOff>162105</xdr:rowOff>
    </xdr:to>
    <xdr:graphicFrame macro="">
      <xdr:nvGraphicFramePr>
        <xdr:cNvPr id="6" name="Chart 5">
          <a:extLst>
            <a:ext uri="{FF2B5EF4-FFF2-40B4-BE49-F238E27FC236}">
              <a16:creationId xmlns:a16="http://schemas.microsoft.com/office/drawing/2014/main" id="{13509D84-BECC-44BE-8176-4E58537C3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nature.com/articles/s41598-020-73395-4" TargetMode="External"/><Relationship Id="rId1" Type="http://schemas.openxmlformats.org/officeDocument/2006/relationships/hyperlink" Target="https://go.gale.com/ps/i.do?id=GALE%7CA649711026&amp;sid=googleScholar&amp;v=2.1&amp;it=r&amp;linkaccess=abs&amp;issn=08406529&amp;p=AONE&amp;sw=w&amp;userGroupName=anon%7Eda6c86b0&amp;aty=open-web-entr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AB05-EE7E-4E79-ABC4-BE2AE6DB2FE2}">
  <dimension ref="A1:U23"/>
  <sheetViews>
    <sheetView workbookViewId="0">
      <selection activeCell="G23" sqref="G23"/>
    </sheetView>
  </sheetViews>
  <sheetFormatPr defaultRowHeight="14.4" x14ac:dyDescent="0.3"/>
  <cols>
    <col min="1" max="1" width="11" customWidth="1"/>
    <col min="2" max="2" width="13.44140625" customWidth="1"/>
    <col min="3" max="3" width="13.33203125" customWidth="1"/>
    <col min="4" max="4" width="12.21875" customWidth="1"/>
    <col min="5" max="5" width="14.21875" customWidth="1"/>
    <col min="6" max="6" width="12.6640625" customWidth="1"/>
    <col min="7" max="7" width="20.44140625" customWidth="1"/>
    <col min="18" max="18" width="13.33203125" customWidth="1"/>
    <col min="19" max="19" width="13.6640625" customWidth="1"/>
    <col min="20" max="20" width="14.77734375" customWidth="1"/>
    <col min="21" max="21" width="23.6640625" customWidth="1"/>
  </cols>
  <sheetData>
    <row r="1" spans="1:21" ht="15" thickBot="1" x14ac:dyDescent="0.35">
      <c r="A1" s="40" t="s">
        <v>58</v>
      </c>
      <c r="B1" s="40"/>
      <c r="C1" s="40"/>
      <c r="D1" s="40"/>
      <c r="E1" s="40"/>
      <c r="F1" s="40"/>
      <c r="G1" s="40"/>
      <c r="I1" s="40" t="s">
        <v>59</v>
      </c>
      <c r="J1" s="40"/>
      <c r="K1" s="40"/>
      <c r="L1" s="40"/>
      <c r="M1" s="40"/>
      <c r="N1" s="40"/>
      <c r="O1" s="40"/>
      <c r="R1" s="40" t="s">
        <v>64</v>
      </c>
      <c r="S1" s="40"/>
      <c r="T1" s="40"/>
      <c r="U1" s="40"/>
    </row>
    <row r="2" spans="1:21" ht="15.6" thickBot="1" x14ac:dyDescent="0.35">
      <c r="A2" s="29" t="s">
        <v>45</v>
      </c>
      <c r="B2" s="29" t="s">
        <v>46</v>
      </c>
      <c r="C2" s="29" t="s">
        <v>47</v>
      </c>
      <c r="D2" s="29" t="s">
        <v>48</v>
      </c>
      <c r="E2" s="29" t="s">
        <v>49</v>
      </c>
      <c r="F2" s="29" t="s">
        <v>50</v>
      </c>
      <c r="G2" s="29" t="s">
        <v>51</v>
      </c>
      <c r="I2" s="29" t="s">
        <v>45</v>
      </c>
      <c r="J2" s="29" t="s">
        <v>46</v>
      </c>
      <c r="K2" s="29" t="s">
        <v>47</v>
      </c>
      <c r="L2" s="29" t="s">
        <v>48</v>
      </c>
      <c r="M2" s="29" t="s">
        <v>49</v>
      </c>
      <c r="N2" s="29" t="s">
        <v>50</v>
      </c>
      <c r="O2" s="29" t="s">
        <v>51</v>
      </c>
      <c r="R2" s="29" t="s">
        <v>60</v>
      </c>
      <c r="S2" s="29" t="s">
        <v>61</v>
      </c>
      <c r="T2" s="29" t="s">
        <v>62</v>
      </c>
      <c r="U2" s="29" t="s">
        <v>63</v>
      </c>
    </row>
    <row r="3" spans="1:21" ht="15.6" thickBot="1" x14ac:dyDescent="0.35">
      <c r="A3" s="29" t="s">
        <v>52</v>
      </c>
      <c r="B3" s="30">
        <v>33</v>
      </c>
      <c r="C3" s="30">
        <v>40.200000000000003</v>
      </c>
      <c r="D3" s="29">
        <v>48</v>
      </c>
      <c r="E3" s="30">
        <v>56.5</v>
      </c>
      <c r="F3" s="30">
        <v>64.099999999999994</v>
      </c>
      <c r="G3" s="30">
        <v>69.400000000000006</v>
      </c>
      <c r="I3" s="29" t="s">
        <v>52</v>
      </c>
      <c r="J3" s="30">
        <v>23.6</v>
      </c>
      <c r="K3" s="30">
        <v>28.9</v>
      </c>
      <c r="L3" s="29">
        <v>37.6</v>
      </c>
      <c r="M3" s="30">
        <v>44.5</v>
      </c>
      <c r="N3" s="30">
        <v>51.5</v>
      </c>
      <c r="O3" s="30">
        <v>55.4</v>
      </c>
      <c r="Q3" t="s">
        <v>66</v>
      </c>
      <c r="R3" s="30">
        <v>60</v>
      </c>
      <c r="S3" s="30">
        <v>152</v>
      </c>
      <c r="T3" s="30">
        <v>3.25</v>
      </c>
      <c r="U3" s="30">
        <v>2.5499999999999998</v>
      </c>
    </row>
    <row r="4" spans="1:21" ht="15.6" thickBot="1" x14ac:dyDescent="0.35">
      <c r="A4" s="31" t="s">
        <v>53</v>
      </c>
      <c r="B4" s="32">
        <v>29.5</v>
      </c>
      <c r="C4" s="32">
        <v>35.5</v>
      </c>
      <c r="D4" s="31">
        <v>43.4</v>
      </c>
      <c r="E4" s="32">
        <v>52.5</v>
      </c>
      <c r="F4" s="32">
        <v>58.7</v>
      </c>
      <c r="G4" s="32">
        <v>64.400000000000006</v>
      </c>
      <c r="I4" s="31" t="s">
        <v>53</v>
      </c>
      <c r="J4" s="32">
        <v>21.8</v>
      </c>
      <c r="K4" s="32">
        <v>26.5</v>
      </c>
      <c r="L4" s="31">
        <v>34.700000000000003</v>
      </c>
      <c r="M4" s="32">
        <v>41</v>
      </c>
      <c r="N4" s="32">
        <v>47</v>
      </c>
      <c r="O4" s="32">
        <v>50.8</v>
      </c>
      <c r="R4" s="32">
        <v>61</v>
      </c>
      <c r="S4" s="32">
        <v>155</v>
      </c>
      <c r="T4" s="32">
        <v>3.35</v>
      </c>
      <c r="U4" s="32">
        <v>2.65</v>
      </c>
    </row>
    <row r="5" spans="1:21" ht="15.6" thickBot="1" x14ac:dyDescent="0.35">
      <c r="A5" s="29" t="s">
        <v>54</v>
      </c>
      <c r="B5" s="30">
        <v>25.6</v>
      </c>
      <c r="C5" s="30">
        <v>32.1</v>
      </c>
      <c r="D5" s="29">
        <v>39.5</v>
      </c>
      <c r="E5" s="30">
        <v>47.4</v>
      </c>
      <c r="F5" s="30">
        <v>54.5</v>
      </c>
      <c r="G5" s="30">
        <v>59.9</v>
      </c>
      <c r="I5" s="29" t="s">
        <v>54</v>
      </c>
      <c r="J5" s="30">
        <v>19</v>
      </c>
      <c r="K5" s="30">
        <v>24.1</v>
      </c>
      <c r="L5" s="29">
        <v>30.6</v>
      </c>
      <c r="M5" s="30">
        <v>36.700000000000003</v>
      </c>
      <c r="N5" s="30">
        <v>42.1</v>
      </c>
      <c r="O5" s="30">
        <v>46.1</v>
      </c>
      <c r="R5" s="30">
        <v>62</v>
      </c>
      <c r="S5" s="30">
        <v>157</v>
      </c>
      <c r="T5" s="30">
        <v>3.45</v>
      </c>
      <c r="U5" s="30">
        <v>2.7</v>
      </c>
    </row>
    <row r="6" spans="1:21" ht="15.6" thickBot="1" x14ac:dyDescent="0.35">
      <c r="A6" s="31" t="s">
        <v>55</v>
      </c>
      <c r="B6" s="32">
        <v>23.3</v>
      </c>
      <c r="C6" s="32">
        <v>28.6</v>
      </c>
      <c r="D6" s="31">
        <v>34.5</v>
      </c>
      <c r="E6" s="32">
        <v>41.5</v>
      </c>
      <c r="F6" s="32">
        <v>48</v>
      </c>
      <c r="G6" s="32">
        <v>52.8</v>
      </c>
      <c r="I6" s="31" t="s">
        <v>55</v>
      </c>
      <c r="J6" s="32">
        <v>17</v>
      </c>
      <c r="K6" s="32">
        <v>21.3</v>
      </c>
      <c r="L6" s="31">
        <v>26.6</v>
      </c>
      <c r="M6" s="32">
        <v>31.9</v>
      </c>
      <c r="N6" s="32">
        <v>36.4</v>
      </c>
      <c r="O6" s="32">
        <v>39.5</v>
      </c>
      <c r="R6" s="32">
        <v>63</v>
      </c>
      <c r="S6" s="32">
        <v>160</v>
      </c>
      <c r="T6" s="32">
        <v>3.55</v>
      </c>
      <c r="U6" s="32">
        <v>2.8</v>
      </c>
    </row>
    <row r="7" spans="1:21" ht="15.6" thickBot="1" x14ac:dyDescent="0.35">
      <c r="A7" s="29" t="s">
        <v>56</v>
      </c>
      <c r="B7" s="30">
        <v>19.3</v>
      </c>
      <c r="C7" s="30">
        <v>24.3</v>
      </c>
      <c r="D7" s="29">
        <v>30.2</v>
      </c>
      <c r="E7" s="30">
        <v>36.299999999999997</v>
      </c>
      <c r="F7" s="30">
        <v>42.1</v>
      </c>
      <c r="G7" s="30">
        <v>46.4</v>
      </c>
      <c r="I7" s="29" t="s">
        <v>56</v>
      </c>
      <c r="J7" s="30">
        <v>14.7</v>
      </c>
      <c r="K7" s="30">
        <v>18.2</v>
      </c>
      <c r="L7" s="29">
        <v>22.8</v>
      </c>
      <c r="M7" s="30">
        <v>27.2</v>
      </c>
      <c r="N7" s="30">
        <v>31.3</v>
      </c>
      <c r="O7" s="30">
        <v>34.6</v>
      </c>
      <c r="R7" s="30">
        <v>64</v>
      </c>
      <c r="S7" s="30">
        <v>163</v>
      </c>
      <c r="T7" s="30">
        <v>3.7</v>
      </c>
      <c r="U7" s="30">
        <v>2.9</v>
      </c>
    </row>
    <row r="8" spans="1:21" ht="15.6" thickBot="1" x14ac:dyDescent="0.35">
      <c r="A8" s="31" t="s">
        <v>57</v>
      </c>
      <c r="B8" s="32">
        <v>16.5</v>
      </c>
      <c r="C8" s="32">
        <v>20.2</v>
      </c>
      <c r="D8" s="31">
        <v>25.2</v>
      </c>
      <c r="E8" s="32">
        <v>30.5</v>
      </c>
      <c r="F8" s="32">
        <v>36.299999999999997</v>
      </c>
      <c r="G8" s="32">
        <v>41.2</v>
      </c>
      <c r="I8" s="31" t="s">
        <v>57</v>
      </c>
      <c r="J8" s="32">
        <v>13</v>
      </c>
      <c r="K8" s="32">
        <v>16.100000000000001</v>
      </c>
      <c r="L8" s="31">
        <v>20.399999999999999</v>
      </c>
      <c r="M8" s="32">
        <v>24</v>
      </c>
      <c r="N8" s="32">
        <v>27.7</v>
      </c>
      <c r="O8" s="32">
        <v>30.7</v>
      </c>
      <c r="R8" s="32">
        <v>65</v>
      </c>
      <c r="S8" s="32">
        <v>165</v>
      </c>
      <c r="T8" s="32">
        <v>3.8</v>
      </c>
      <c r="U8" s="32">
        <v>3</v>
      </c>
    </row>
    <row r="9" spans="1:21" ht="15.6" thickBot="1" x14ac:dyDescent="0.35">
      <c r="R9" s="30">
        <v>66</v>
      </c>
      <c r="S9" s="30">
        <v>168</v>
      </c>
      <c r="T9" s="30">
        <v>3.95</v>
      </c>
      <c r="U9" s="30">
        <v>3.05</v>
      </c>
    </row>
    <row r="10" spans="1:21" ht="15.6" thickBot="1" x14ac:dyDescent="0.35">
      <c r="R10" s="32">
        <v>67</v>
      </c>
      <c r="S10" s="32">
        <v>170</v>
      </c>
      <c r="T10" s="32">
        <v>4.05</v>
      </c>
      <c r="U10" s="32">
        <v>3.15</v>
      </c>
    </row>
    <row r="11" spans="1:21" ht="15.6" thickBot="1" x14ac:dyDescent="0.35">
      <c r="R11" s="30">
        <v>68</v>
      </c>
      <c r="S11" s="30">
        <v>173</v>
      </c>
      <c r="T11" s="30">
        <v>4.2</v>
      </c>
      <c r="U11" s="30">
        <v>3.25</v>
      </c>
    </row>
    <row r="12" spans="1:21" ht="15.6" thickBot="1" x14ac:dyDescent="0.35">
      <c r="R12" s="32">
        <v>69</v>
      </c>
      <c r="S12" s="32">
        <v>175</v>
      </c>
      <c r="T12" s="32">
        <v>4.3</v>
      </c>
      <c r="U12" s="32">
        <v>3.35</v>
      </c>
    </row>
    <row r="13" spans="1:21" ht="15.6" thickBot="1" x14ac:dyDescent="0.35">
      <c r="R13" s="30">
        <v>70</v>
      </c>
      <c r="S13" s="30">
        <v>178</v>
      </c>
      <c r="T13" s="30">
        <v>4.45</v>
      </c>
      <c r="U13" s="30">
        <v>3.45</v>
      </c>
    </row>
    <row r="14" spans="1:21" ht="15.6" thickBot="1" x14ac:dyDescent="0.35">
      <c r="R14" s="32">
        <v>71</v>
      </c>
      <c r="S14" s="32">
        <v>180</v>
      </c>
      <c r="T14" s="32">
        <v>4.55</v>
      </c>
      <c r="U14" s="32">
        <v>3.5</v>
      </c>
    </row>
    <row r="15" spans="1:21" ht="15.6" thickBot="1" x14ac:dyDescent="0.35">
      <c r="C15" s="39" t="s">
        <v>122</v>
      </c>
      <c r="D15" s="39"/>
      <c r="E15" s="39"/>
      <c r="F15" s="39"/>
      <c r="G15" s="39"/>
      <c r="H15" s="39"/>
      <c r="I15" s="39"/>
      <c r="J15" s="39"/>
      <c r="K15" s="39"/>
      <c r="L15" s="39"/>
      <c r="M15" s="39"/>
      <c r="Q15" t="s">
        <v>65</v>
      </c>
      <c r="R15" s="30">
        <v>72</v>
      </c>
      <c r="S15" s="30">
        <v>183</v>
      </c>
      <c r="T15" s="30">
        <v>4.7</v>
      </c>
      <c r="U15" s="30">
        <v>3.6</v>
      </c>
    </row>
    <row r="16" spans="1:21" ht="15.6" thickBot="1" x14ac:dyDescent="0.35">
      <c r="C16" s="39"/>
      <c r="D16" s="39"/>
      <c r="E16" s="39"/>
      <c r="F16" s="39"/>
      <c r="G16" s="39"/>
      <c r="H16" s="39"/>
      <c r="I16" s="39"/>
      <c r="J16" s="39"/>
      <c r="K16" s="39"/>
      <c r="L16" s="39"/>
      <c r="M16" s="39"/>
      <c r="R16" s="32">
        <v>73</v>
      </c>
      <c r="S16" s="32">
        <v>185</v>
      </c>
      <c r="T16" s="32">
        <v>4.8499999999999996</v>
      </c>
      <c r="U16" s="32">
        <v>3.7</v>
      </c>
    </row>
    <row r="17" spans="3:21" ht="15.6" thickBot="1" x14ac:dyDescent="0.35">
      <c r="C17" s="39"/>
      <c r="D17" s="39"/>
      <c r="E17" s="39"/>
      <c r="F17" s="39"/>
      <c r="G17" s="39"/>
      <c r="H17" s="39"/>
      <c r="I17" s="39"/>
      <c r="J17" s="39"/>
      <c r="K17" s="39"/>
      <c r="L17" s="39"/>
      <c r="M17" s="39"/>
      <c r="R17" s="30">
        <v>74</v>
      </c>
      <c r="S17" s="30">
        <v>188</v>
      </c>
      <c r="T17" s="30">
        <v>5</v>
      </c>
      <c r="U17" s="30">
        <v>3.8</v>
      </c>
    </row>
    <row r="18" spans="3:21" ht="15.6" thickBot="1" x14ac:dyDescent="0.35">
      <c r="C18" s="39"/>
      <c r="D18" s="39"/>
      <c r="E18" s="39"/>
      <c r="F18" s="39"/>
      <c r="G18" s="39"/>
      <c r="H18" s="39"/>
      <c r="I18" s="39"/>
      <c r="J18" s="39"/>
      <c r="K18" s="39"/>
      <c r="L18" s="39"/>
      <c r="M18" s="39"/>
      <c r="R18" s="32">
        <v>75</v>
      </c>
      <c r="S18" s="32">
        <v>190</v>
      </c>
      <c r="T18" s="32">
        <v>5.15</v>
      </c>
      <c r="U18" s="32">
        <v>3.9</v>
      </c>
    </row>
    <row r="21" spans="3:21" x14ac:dyDescent="0.3">
      <c r="R21" s="39" t="s">
        <v>123</v>
      </c>
      <c r="S21" s="39"/>
      <c r="T21" s="39"/>
      <c r="U21" s="39"/>
    </row>
    <row r="22" spans="3:21" ht="15" customHeight="1" x14ac:dyDescent="0.3">
      <c r="R22" s="39"/>
      <c r="S22" s="39"/>
      <c r="T22" s="39"/>
      <c r="U22" s="39"/>
    </row>
    <row r="23" spans="3:21" ht="46.8" customHeight="1" x14ac:dyDescent="0.3">
      <c r="R23" s="39"/>
      <c r="S23" s="39"/>
      <c r="T23" s="39"/>
      <c r="U23" s="39"/>
    </row>
  </sheetData>
  <mergeCells count="5">
    <mergeCell ref="R1:U1"/>
    <mergeCell ref="A1:G1"/>
    <mergeCell ref="I1:O1"/>
    <mergeCell ref="C15:M18"/>
    <mergeCell ref="R21:U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D710-1D27-4E2D-ABC6-4A0B32B00464}">
  <dimension ref="A1:Q21"/>
  <sheetViews>
    <sheetView workbookViewId="0">
      <selection activeCell="T18" sqref="T18"/>
    </sheetView>
  </sheetViews>
  <sheetFormatPr defaultRowHeight="14.4" x14ac:dyDescent="0.3"/>
  <sheetData>
    <row r="1" spans="1:17" ht="15" thickBot="1" x14ac:dyDescent="0.35">
      <c r="A1" s="40" t="s">
        <v>69</v>
      </c>
      <c r="B1" s="40"/>
      <c r="C1" s="40"/>
      <c r="J1" s="40" t="s">
        <v>73</v>
      </c>
      <c r="K1" s="40"/>
      <c r="L1" s="40"/>
      <c r="O1" s="38" t="s">
        <v>75</v>
      </c>
      <c r="P1" s="38"/>
      <c r="Q1" s="38"/>
    </row>
    <row r="2" spans="1:17" ht="45.6" thickBot="1" x14ac:dyDescent="0.35">
      <c r="A2" s="17" t="s">
        <v>12</v>
      </c>
      <c r="B2" s="17" t="s">
        <v>67</v>
      </c>
      <c r="C2" s="17" t="s">
        <v>68</v>
      </c>
      <c r="J2" s="17" t="s">
        <v>12</v>
      </c>
      <c r="K2" s="17" t="s">
        <v>71</v>
      </c>
      <c r="L2" s="17" t="s">
        <v>72</v>
      </c>
      <c r="O2" s="17" t="s">
        <v>12</v>
      </c>
      <c r="P2" s="17" t="s">
        <v>76</v>
      </c>
      <c r="Q2" s="17" t="s">
        <v>77</v>
      </c>
    </row>
    <row r="3" spans="1:17" ht="15.6" thickBot="1" x14ac:dyDescent="0.35">
      <c r="A3" s="14">
        <v>20</v>
      </c>
      <c r="B3" s="14">
        <v>48</v>
      </c>
      <c r="C3" s="14">
        <v>29</v>
      </c>
      <c r="J3" s="14">
        <v>20</v>
      </c>
      <c r="K3" s="14">
        <v>53</v>
      </c>
      <c r="L3" s="14">
        <v>35</v>
      </c>
      <c r="O3" s="17">
        <v>20</v>
      </c>
      <c r="P3" s="14">
        <v>4.3</v>
      </c>
      <c r="Q3" s="14">
        <v>3.2</v>
      </c>
    </row>
    <row r="4" spans="1:17" ht="15.6" thickBot="1" x14ac:dyDescent="0.35">
      <c r="A4" s="15">
        <v>25</v>
      </c>
      <c r="B4" s="15">
        <v>50</v>
      </c>
      <c r="C4" s="15">
        <v>30</v>
      </c>
      <c r="J4" s="15">
        <v>25</v>
      </c>
      <c r="K4" s="15">
        <v>51</v>
      </c>
      <c r="L4" s="15">
        <v>33.5</v>
      </c>
      <c r="O4" s="19">
        <v>25</v>
      </c>
      <c r="P4" s="15">
        <v>4.0999999999999996</v>
      </c>
      <c r="Q4" s="15">
        <v>3.1</v>
      </c>
    </row>
    <row r="5" spans="1:17" ht="15.6" thickBot="1" x14ac:dyDescent="0.35">
      <c r="A5" s="14">
        <v>30</v>
      </c>
      <c r="B5" s="14">
        <v>51</v>
      </c>
      <c r="C5" s="14">
        <v>31</v>
      </c>
      <c r="J5" s="14">
        <v>30</v>
      </c>
      <c r="K5" s="14">
        <v>49</v>
      </c>
      <c r="L5" s="14">
        <v>32</v>
      </c>
      <c r="O5" s="17">
        <v>30</v>
      </c>
      <c r="P5" s="14">
        <v>3.9</v>
      </c>
      <c r="Q5" s="14">
        <v>3</v>
      </c>
    </row>
    <row r="6" spans="1:17" ht="15.6" thickBot="1" x14ac:dyDescent="0.35">
      <c r="A6" s="15">
        <v>35</v>
      </c>
      <c r="B6" s="15">
        <v>50</v>
      </c>
      <c r="C6" s="15">
        <v>31</v>
      </c>
      <c r="J6" s="15">
        <v>35</v>
      </c>
      <c r="K6" s="15">
        <v>46.5</v>
      </c>
      <c r="L6" s="15">
        <v>30</v>
      </c>
      <c r="O6" s="19">
        <v>35</v>
      </c>
      <c r="P6" s="15">
        <v>3.7</v>
      </c>
      <c r="Q6" s="15">
        <v>2.85</v>
      </c>
    </row>
    <row r="7" spans="1:17" ht="15.6" thickBot="1" x14ac:dyDescent="0.35">
      <c r="A7" s="14">
        <v>40</v>
      </c>
      <c r="B7" s="14">
        <v>49</v>
      </c>
      <c r="C7" s="14">
        <v>30</v>
      </c>
      <c r="J7" s="14">
        <v>40</v>
      </c>
      <c r="K7" s="14">
        <v>44</v>
      </c>
      <c r="L7" s="14">
        <v>28</v>
      </c>
      <c r="O7" s="17">
        <v>40</v>
      </c>
      <c r="P7" s="14">
        <v>3.5</v>
      </c>
      <c r="Q7" s="14">
        <v>2.7</v>
      </c>
    </row>
    <row r="8" spans="1:17" ht="15.6" thickBot="1" x14ac:dyDescent="0.35">
      <c r="A8" s="15">
        <v>45</v>
      </c>
      <c r="B8" s="15">
        <v>47</v>
      </c>
      <c r="C8" s="15">
        <v>29</v>
      </c>
      <c r="J8" s="15">
        <v>45</v>
      </c>
      <c r="K8" s="15">
        <v>41.5</v>
      </c>
      <c r="L8" s="15">
        <v>26</v>
      </c>
      <c r="O8" s="19">
        <v>45</v>
      </c>
      <c r="P8" s="15">
        <v>3.3</v>
      </c>
      <c r="Q8" s="15">
        <v>2.5499999999999998</v>
      </c>
    </row>
    <row r="9" spans="1:17" ht="15.6" thickBot="1" x14ac:dyDescent="0.35">
      <c r="A9" s="14">
        <v>50</v>
      </c>
      <c r="B9" s="14">
        <v>46</v>
      </c>
      <c r="C9" s="14">
        <v>28</v>
      </c>
      <c r="J9" s="14">
        <v>50</v>
      </c>
      <c r="K9" s="14">
        <v>39</v>
      </c>
      <c r="L9" s="14">
        <v>24</v>
      </c>
      <c r="O9" s="17">
        <v>50</v>
      </c>
      <c r="P9" s="14">
        <v>3.1</v>
      </c>
      <c r="Q9" s="14">
        <v>2.4</v>
      </c>
    </row>
    <row r="10" spans="1:17" ht="15.6" thickBot="1" x14ac:dyDescent="0.35">
      <c r="A10" s="15">
        <v>55</v>
      </c>
      <c r="B10" s="15">
        <v>44</v>
      </c>
      <c r="C10" s="15">
        <v>27</v>
      </c>
      <c r="J10" s="15">
        <v>55</v>
      </c>
      <c r="K10" s="15">
        <v>35.5</v>
      </c>
      <c r="L10" s="15">
        <v>21.5</v>
      </c>
      <c r="O10" s="19">
        <v>55</v>
      </c>
      <c r="P10" s="15">
        <v>2.9</v>
      </c>
      <c r="Q10" s="15">
        <v>2.25</v>
      </c>
    </row>
    <row r="11" spans="1:17" ht="15.6" thickBot="1" x14ac:dyDescent="0.35">
      <c r="A11" s="14">
        <v>60</v>
      </c>
      <c r="B11" s="14">
        <v>42</v>
      </c>
      <c r="C11" s="14">
        <v>25</v>
      </c>
      <c r="J11" s="14">
        <v>60</v>
      </c>
      <c r="K11" s="14">
        <v>32</v>
      </c>
      <c r="L11" s="14">
        <v>19</v>
      </c>
      <c r="O11" s="17">
        <v>60</v>
      </c>
      <c r="P11" s="14">
        <v>2.7</v>
      </c>
      <c r="Q11" s="14">
        <v>2.1</v>
      </c>
    </row>
    <row r="12" spans="1:17" ht="15.6" thickBot="1" x14ac:dyDescent="0.35">
      <c r="A12" s="15">
        <v>65</v>
      </c>
      <c r="B12" s="15">
        <v>39</v>
      </c>
      <c r="C12" s="15">
        <v>23</v>
      </c>
      <c r="J12" s="15">
        <v>65</v>
      </c>
      <c r="K12" s="15">
        <v>28.5</v>
      </c>
      <c r="L12" s="15">
        <v>16.5</v>
      </c>
      <c r="O12" s="19">
        <v>65</v>
      </c>
      <c r="P12" s="15">
        <v>2.5</v>
      </c>
      <c r="Q12" s="15">
        <v>1.95</v>
      </c>
    </row>
    <row r="13" spans="1:17" ht="15.6" thickBot="1" x14ac:dyDescent="0.35">
      <c r="A13" s="14">
        <v>70</v>
      </c>
      <c r="B13" s="14">
        <v>36</v>
      </c>
      <c r="C13" s="14">
        <v>21</v>
      </c>
      <c r="J13" s="14">
        <v>70</v>
      </c>
      <c r="K13" s="14">
        <v>25</v>
      </c>
      <c r="L13" s="14">
        <v>14</v>
      </c>
      <c r="O13" s="17">
        <v>70</v>
      </c>
      <c r="P13" s="14">
        <v>2.2999999999999998</v>
      </c>
      <c r="Q13" s="14">
        <v>1.8</v>
      </c>
    </row>
    <row r="14" spans="1:17" ht="15.6" thickBot="1" x14ac:dyDescent="0.35">
      <c r="A14" s="15">
        <v>75</v>
      </c>
      <c r="B14" s="15">
        <v>33</v>
      </c>
      <c r="C14" s="15">
        <v>19</v>
      </c>
      <c r="J14" s="15">
        <v>75</v>
      </c>
      <c r="K14" s="15">
        <v>21.5</v>
      </c>
      <c r="L14" s="15">
        <v>12</v>
      </c>
      <c r="O14" s="19">
        <v>75</v>
      </c>
      <c r="P14" s="15">
        <v>2.1</v>
      </c>
      <c r="Q14" s="15">
        <v>1.65</v>
      </c>
    </row>
    <row r="15" spans="1:17" ht="15.6" thickBot="1" x14ac:dyDescent="0.35">
      <c r="A15" s="14">
        <v>80</v>
      </c>
      <c r="B15" s="14">
        <v>30</v>
      </c>
      <c r="C15" s="14">
        <v>17</v>
      </c>
      <c r="J15" s="14">
        <v>80</v>
      </c>
      <c r="K15" s="14">
        <v>18</v>
      </c>
      <c r="L15" s="14">
        <v>10</v>
      </c>
      <c r="O15" s="17">
        <v>80</v>
      </c>
      <c r="P15" s="14">
        <v>1.9</v>
      </c>
      <c r="Q15" s="14">
        <v>1.5</v>
      </c>
    </row>
    <row r="16" spans="1:17" ht="15.6" thickBot="1" x14ac:dyDescent="0.35">
      <c r="A16" s="15">
        <v>85</v>
      </c>
      <c r="B16" s="15">
        <v>26</v>
      </c>
      <c r="C16" s="15">
        <v>14</v>
      </c>
      <c r="O16" s="19">
        <v>85</v>
      </c>
      <c r="P16" s="15">
        <v>1.7</v>
      </c>
      <c r="Q16" s="15">
        <v>1.35</v>
      </c>
    </row>
    <row r="17" spans="1:17" ht="15.6" thickBot="1" x14ac:dyDescent="0.35">
      <c r="O17" s="17">
        <v>90</v>
      </c>
      <c r="P17" s="14">
        <v>1.5</v>
      </c>
      <c r="Q17" s="14">
        <v>1.2</v>
      </c>
    </row>
    <row r="18" spans="1:17" ht="87" customHeight="1" x14ac:dyDescent="0.3">
      <c r="A18" s="39" t="s">
        <v>70</v>
      </c>
      <c r="B18" s="39"/>
      <c r="C18" s="39"/>
      <c r="J18" s="41" t="s">
        <v>74</v>
      </c>
      <c r="K18" s="41"/>
      <c r="L18" s="41"/>
      <c r="O18" s="42" t="s">
        <v>78</v>
      </c>
      <c r="P18" s="39"/>
      <c r="Q18" s="39"/>
    </row>
    <row r="19" spans="1:17" ht="23.4" customHeight="1" x14ac:dyDescent="0.3">
      <c r="J19" s="39" t="s">
        <v>124</v>
      </c>
      <c r="K19" s="39"/>
      <c r="L19" s="39"/>
      <c r="M19" s="33"/>
      <c r="O19" s="39" t="s">
        <v>125</v>
      </c>
      <c r="P19" s="39"/>
      <c r="Q19" s="39"/>
    </row>
    <row r="20" spans="1:17" ht="55.8" customHeight="1" x14ac:dyDescent="0.3">
      <c r="J20" s="39"/>
      <c r="K20" s="39"/>
      <c r="L20" s="39"/>
      <c r="M20" s="33"/>
      <c r="O20" s="39"/>
      <c r="P20" s="39"/>
      <c r="Q20" s="39"/>
    </row>
    <row r="21" spans="1:17" ht="28.8" customHeight="1" x14ac:dyDescent="0.3"/>
  </sheetData>
  <mergeCells count="8">
    <mergeCell ref="J19:L20"/>
    <mergeCell ref="O19:Q20"/>
    <mergeCell ref="A1:C1"/>
    <mergeCell ref="J1:L1"/>
    <mergeCell ref="J18:L18"/>
    <mergeCell ref="A18:C18"/>
    <mergeCell ref="O1:Q1"/>
    <mergeCell ref="O18:Q18"/>
  </mergeCells>
  <hyperlinks>
    <hyperlink ref="J18" r:id="rId1" xr:uid="{D677EA0F-9DFB-4DAB-B7B2-DBCE326558DF}"/>
    <hyperlink ref="O18" r:id="rId2" xr:uid="{EBEFE167-2CCD-4E78-80C6-726EB1B2AFC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32CF-B89C-47F8-8E82-6200207C74D8}">
  <dimension ref="A1:T34"/>
  <sheetViews>
    <sheetView topLeftCell="A16" zoomScale="85" zoomScaleNormal="85" workbookViewId="0">
      <selection activeCell="R31" sqref="R31"/>
    </sheetView>
  </sheetViews>
  <sheetFormatPr defaultRowHeight="14.4" x14ac:dyDescent="0.3"/>
  <cols>
    <col min="2" max="2" width="14" customWidth="1"/>
    <col min="3" max="3" width="13.6640625" customWidth="1"/>
    <col min="4" max="4" width="15.33203125" customWidth="1"/>
    <col min="5" max="5" width="14.21875" customWidth="1"/>
    <col min="10" max="10" width="21" customWidth="1"/>
    <col min="14" max="14" width="19.33203125" customWidth="1"/>
    <col min="15" max="15" width="23.6640625" customWidth="1"/>
  </cols>
  <sheetData>
    <row r="1" spans="1:15" ht="15" thickBot="1" x14ac:dyDescent="0.35">
      <c r="A1" s="40" t="s">
        <v>81</v>
      </c>
      <c r="B1" s="40"/>
      <c r="C1" s="40"/>
      <c r="E1" s="40" t="s">
        <v>84</v>
      </c>
      <c r="F1" s="40"/>
      <c r="G1" s="40"/>
      <c r="I1" s="40" t="s">
        <v>85</v>
      </c>
      <c r="J1" s="40"/>
      <c r="K1" s="40"/>
      <c r="M1" s="40" t="s">
        <v>88</v>
      </c>
      <c r="N1" s="40"/>
      <c r="O1" s="40"/>
    </row>
    <row r="2" spans="1:15" ht="30.6" thickBot="1" x14ac:dyDescent="0.35">
      <c r="A2" s="17" t="s">
        <v>12</v>
      </c>
      <c r="B2" s="17" t="s">
        <v>79</v>
      </c>
      <c r="C2" s="17" t="s">
        <v>80</v>
      </c>
      <c r="E2" s="17" t="s">
        <v>12</v>
      </c>
      <c r="F2" s="17" t="s">
        <v>82</v>
      </c>
      <c r="G2" s="17" t="s">
        <v>83</v>
      </c>
      <c r="I2" s="17" t="s">
        <v>12</v>
      </c>
      <c r="J2" s="17" t="s">
        <v>82</v>
      </c>
      <c r="K2" s="17" t="s">
        <v>83</v>
      </c>
      <c r="M2" s="17" t="s">
        <v>12</v>
      </c>
      <c r="N2" s="17" t="s">
        <v>86</v>
      </c>
      <c r="O2" s="17" t="s">
        <v>87</v>
      </c>
    </row>
    <row r="3" spans="1:15" ht="15.6" thickBot="1" x14ac:dyDescent="0.35">
      <c r="A3" s="17">
        <v>20</v>
      </c>
      <c r="B3" s="14">
        <v>1.36</v>
      </c>
      <c r="C3" s="14">
        <v>1.34</v>
      </c>
      <c r="E3">
        <v>18</v>
      </c>
      <c r="F3">
        <v>3</v>
      </c>
      <c r="G3">
        <v>3</v>
      </c>
      <c r="I3" s="17">
        <v>20</v>
      </c>
      <c r="J3" s="14">
        <v>45</v>
      </c>
      <c r="K3" s="14">
        <v>45</v>
      </c>
      <c r="M3" s="17">
        <v>20</v>
      </c>
      <c r="N3" s="14">
        <v>39</v>
      </c>
      <c r="O3" s="14">
        <v>42</v>
      </c>
    </row>
    <row r="4" spans="1:15" ht="15.6" thickBot="1" x14ac:dyDescent="0.35">
      <c r="A4" s="19">
        <v>25</v>
      </c>
      <c r="B4" s="15">
        <v>1.36</v>
      </c>
      <c r="C4" s="15">
        <v>1.34</v>
      </c>
      <c r="E4" s="17">
        <v>20</v>
      </c>
      <c r="F4" s="14">
        <v>5</v>
      </c>
      <c r="G4" s="14">
        <v>5.5</v>
      </c>
      <c r="I4" s="19">
        <v>25</v>
      </c>
      <c r="J4" s="15">
        <v>44</v>
      </c>
      <c r="K4" s="15">
        <v>44</v>
      </c>
      <c r="M4" s="19">
        <v>25</v>
      </c>
      <c r="N4" s="15">
        <v>38</v>
      </c>
      <c r="O4" s="15">
        <v>41</v>
      </c>
    </row>
    <row r="5" spans="1:15" ht="15.6" thickBot="1" x14ac:dyDescent="0.35">
      <c r="A5" s="17">
        <v>30</v>
      </c>
      <c r="B5" s="14">
        <v>1.43</v>
      </c>
      <c r="C5" s="14">
        <v>1.34</v>
      </c>
      <c r="E5" s="19">
        <v>25</v>
      </c>
      <c r="F5" s="15">
        <v>5.2</v>
      </c>
      <c r="G5" s="15">
        <v>5.8</v>
      </c>
      <c r="I5" s="17">
        <v>30</v>
      </c>
      <c r="J5" s="14">
        <v>43</v>
      </c>
      <c r="K5" s="14">
        <v>43</v>
      </c>
      <c r="M5" s="17">
        <v>30</v>
      </c>
      <c r="N5" s="14">
        <v>37</v>
      </c>
      <c r="O5" s="14">
        <v>40</v>
      </c>
    </row>
    <row r="6" spans="1:15" ht="15.6" thickBot="1" x14ac:dyDescent="0.35">
      <c r="A6" s="19">
        <v>35</v>
      </c>
      <c r="B6" s="14">
        <v>1.43</v>
      </c>
      <c r="C6" s="15">
        <v>1.34</v>
      </c>
      <c r="E6" s="17">
        <v>30</v>
      </c>
      <c r="F6" s="14">
        <v>5.5</v>
      </c>
      <c r="G6" s="14">
        <v>6</v>
      </c>
      <c r="I6" s="19">
        <v>35</v>
      </c>
      <c r="J6" s="15">
        <v>41</v>
      </c>
      <c r="K6" s="15">
        <v>41</v>
      </c>
      <c r="M6" s="19">
        <v>35</v>
      </c>
      <c r="N6" s="15">
        <v>36</v>
      </c>
      <c r="O6" s="15">
        <v>38</v>
      </c>
    </row>
    <row r="7" spans="1:15" ht="15.6" thickBot="1" x14ac:dyDescent="0.35">
      <c r="A7" s="17">
        <v>40</v>
      </c>
      <c r="B7" s="14">
        <v>1.43</v>
      </c>
      <c r="C7" s="14">
        <v>1.39</v>
      </c>
      <c r="E7" s="19">
        <v>35</v>
      </c>
      <c r="F7" s="15">
        <v>5.8</v>
      </c>
      <c r="G7" s="15">
        <v>6.2</v>
      </c>
      <c r="I7" s="17">
        <v>40</v>
      </c>
      <c r="J7" s="14">
        <v>39</v>
      </c>
      <c r="K7" s="14">
        <v>39</v>
      </c>
      <c r="M7" s="17">
        <v>40</v>
      </c>
      <c r="N7" s="14">
        <v>34</v>
      </c>
      <c r="O7" s="14">
        <v>37</v>
      </c>
    </row>
    <row r="8" spans="1:15" ht="15.6" thickBot="1" x14ac:dyDescent="0.35">
      <c r="A8" s="19">
        <v>45</v>
      </c>
      <c r="B8" s="14">
        <v>1.43</v>
      </c>
      <c r="C8" s="15">
        <v>1.39</v>
      </c>
      <c r="E8" s="17">
        <v>40</v>
      </c>
      <c r="F8" s="14">
        <v>6</v>
      </c>
      <c r="G8" s="14">
        <v>6.5</v>
      </c>
      <c r="I8" s="19">
        <v>45</v>
      </c>
      <c r="J8" s="15">
        <v>37</v>
      </c>
      <c r="K8" s="15">
        <v>37</v>
      </c>
      <c r="M8" s="19">
        <v>45</v>
      </c>
      <c r="N8" s="15">
        <v>32.5</v>
      </c>
      <c r="O8" s="15">
        <v>35.5</v>
      </c>
    </row>
    <row r="9" spans="1:15" ht="15.6" thickBot="1" x14ac:dyDescent="0.35">
      <c r="A9" s="17">
        <v>50</v>
      </c>
      <c r="B9" s="14">
        <v>1.43</v>
      </c>
      <c r="C9" s="14">
        <v>1.31</v>
      </c>
      <c r="E9" s="19">
        <v>45</v>
      </c>
      <c r="F9" s="15">
        <v>6.5</v>
      </c>
      <c r="G9" s="15">
        <v>7</v>
      </c>
      <c r="I9" s="17">
        <v>50</v>
      </c>
      <c r="J9" s="14">
        <v>35</v>
      </c>
      <c r="K9" s="14">
        <v>35</v>
      </c>
      <c r="M9" s="17">
        <v>50</v>
      </c>
      <c r="N9" s="14">
        <v>31</v>
      </c>
      <c r="O9" s="14">
        <v>34</v>
      </c>
    </row>
    <row r="10" spans="1:15" ht="15.6" thickBot="1" x14ac:dyDescent="0.35">
      <c r="A10" s="19">
        <v>55</v>
      </c>
      <c r="B10" s="14">
        <v>1.43</v>
      </c>
      <c r="C10" s="15">
        <v>1.31</v>
      </c>
      <c r="E10" s="17">
        <v>50</v>
      </c>
      <c r="F10" s="14">
        <v>7</v>
      </c>
      <c r="G10" s="14">
        <v>7.5</v>
      </c>
      <c r="I10" s="19">
        <v>55</v>
      </c>
      <c r="J10" s="15">
        <v>33</v>
      </c>
      <c r="K10" s="15">
        <v>32</v>
      </c>
      <c r="M10" s="19">
        <v>55</v>
      </c>
      <c r="N10" s="15">
        <v>29.5</v>
      </c>
      <c r="O10" s="15">
        <v>32.5</v>
      </c>
    </row>
    <row r="11" spans="1:15" ht="15.6" thickBot="1" x14ac:dyDescent="0.35">
      <c r="A11" s="17">
        <v>60</v>
      </c>
      <c r="B11" s="14">
        <v>1.33</v>
      </c>
      <c r="C11" s="14">
        <v>1.24</v>
      </c>
      <c r="E11" s="19">
        <v>55</v>
      </c>
      <c r="F11" s="15">
        <v>7.5</v>
      </c>
      <c r="G11" s="15">
        <v>8</v>
      </c>
      <c r="I11" s="17">
        <v>60</v>
      </c>
      <c r="J11" s="14">
        <v>30</v>
      </c>
      <c r="K11" s="14">
        <v>29</v>
      </c>
      <c r="M11" s="17">
        <v>60</v>
      </c>
      <c r="N11" s="14">
        <v>28</v>
      </c>
      <c r="O11" s="14">
        <v>31</v>
      </c>
    </row>
    <row r="12" spans="1:15" ht="15.6" thickBot="1" x14ac:dyDescent="0.35">
      <c r="A12" s="19">
        <v>65</v>
      </c>
      <c r="B12" s="14">
        <v>1.33</v>
      </c>
      <c r="C12" s="15">
        <v>1.24</v>
      </c>
      <c r="E12" s="17">
        <v>60</v>
      </c>
      <c r="F12" s="14">
        <v>8</v>
      </c>
      <c r="G12" s="14">
        <v>8.5</v>
      </c>
      <c r="I12" s="19">
        <v>65</v>
      </c>
      <c r="J12" s="15">
        <v>25</v>
      </c>
      <c r="K12" s="15">
        <v>22</v>
      </c>
      <c r="M12" s="19">
        <v>65</v>
      </c>
      <c r="N12" s="15">
        <v>26.5</v>
      </c>
      <c r="O12" s="15">
        <v>30</v>
      </c>
    </row>
    <row r="13" spans="1:15" ht="15.6" thickBot="1" x14ac:dyDescent="0.35">
      <c r="A13" s="17">
        <v>70</v>
      </c>
      <c r="B13" s="14">
        <v>1.26</v>
      </c>
      <c r="C13" s="14">
        <v>1.1299999999999999</v>
      </c>
      <c r="E13" s="19">
        <v>65</v>
      </c>
      <c r="F13" s="15">
        <v>8.5</v>
      </c>
      <c r="G13" s="15">
        <v>9</v>
      </c>
      <c r="I13" s="17">
        <v>70</v>
      </c>
      <c r="J13" s="14">
        <v>20</v>
      </c>
      <c r="K13" s="14">
        <v>16</v>
      </c>
      <c r="M13" s="17">
        <v>70</v>
      </c>
      <c r="N13" s="14">
        <v>25</v>
      </c>
      <c r="O13" s="14">
        <v>29</v>
      </c>
    </row>
    <row r="14" spans="1:15" ht="15.6" thickBot="1" x14ac:dyDescent="0.35">
      <c r="A14" s="19">
        <v>75</v>
      </c>
      <c r="B14" s="14">
        <v>1.26</v>
      </c>
      <c r="C14" s="15">
        <v>1.1299999999999999</v>
      </c>
      <c r="E14" s="17">
        <v>70</v>
      </c>
      <c r="F14" s="14">
        <v>9</v>
      </c>
      <c r="G14" s="14">
        <v>9.5</v>
      </c>
      <c r="I14" s="19">
        <v>75</v>
      </c>
      <c r="J14" s="15">
        <v>15</v>
      </c>
      <c r="K14" s="15">
        <v>11</v>
      </c>
      <c r="M14" s="19">
        <v>75</v>
      </c>
      <c r="N14" s="15">
        <v>23.5</v>
      </c>
      <c r="O14" s="15">
        <v>27.5</v>
      </c>
    </row>
    <row r="15" spans="1:15" ht="15.6" thickBot="1" x14ac:dyDescent="0.35">
      <c r="A15" s="17">
        <v>80</v>
      </c>
      <c r="B15" s="14">
        <v>1.26</v>
      </c>
      <c r="C15" s="14">
        <v>1.1299999999999999</v>
      </c>
      <c r="E15" s="19">
        <v>75</v>
      </c>
      <c r="F15" s="15">
        <v>9.5</v>
      </c>
      <c r="G15" s="15">
        <v>10</v>
      </c>
      <c r="I15" s="17">
        <v>80</v>
      </c>
      <c r="J15" s="14">
        <v>10</v>
      </c>
      <c r="K15" s="14">
        <v>7</v>
      </c>
      <c r="M15" s="17">
        <v>80</v>
      </c>
      <c r="N15" s="14">
        <v>22</v>
      </c>
      <c r="O15" s="14">
        <v>26</v>
      </c>
    </row>
    <row r="16" spans="1:15" ht="15.6" thickBot="1" x14ac:dyDescent="0.35">
      <c r="A16" s="19"/>
      <c r="B16" s="14"/>
      <c r="C16" s="15"/>
      <c r="E16" s="17">
        <v>80</v>
      </c>
      <c r="F16" s="14">
        <v>10</v>
      </c>
      <c r="G16" s="14">
        <v>11</v>
      </c>
      <c r="I16" s="19">
        <v>85</v>
      </c>
      <c r="J16" s="15">
        <v>7</v>
      </c>
      <c r="K16" s="15">
        <v>5</v>
      </c>
      <c r="M16" s="19">
        <v>85</v>
      </c>
      <c r="N16" s="15">
        <v>20.5</v>
      </c>
      <c r="O16" s="15">
        <v>25</v>
      </c>
    </row>
    <row r="17" spans="1:20" ht="15.6" thickBot="1" x14ac:dyDescent="0.35">
      <c r="A17" s="17"/>
      <c r="B17" s="14"/>
      <c r="C17" s="14"/>
      <c r="E17" s="19">
        <v>85</v>
      </c>
      <c r="F17" s="15">
        <v>11</v>
      </c>
      <c r="G17" s="15">
        <v>12</v>
      </c>
      <c r="I17" s="17">
        <v>90</v>
      </c>
      <c r="J17" s="14">
        <v>5</v>
      </c>
      <c r="K17" s="14">
        <v>3</v>
      </c>
      <c r="M17" s="17">
        <v>90</v>
      </c>
      <c r="N17" s="14">
        <v>19</v>
      </c>
      <c r="O17" s="14">
        <v>24</v>
      </c>
    </row>
    <row r="18" spans="1:20" ht="15.6" thickBot="1" x14ac:dyDescent="0.35">
      <c r="E18" s="17">
        <v>90</v>
      </c>
      <c r="F18" s="14">
        <v>12</v>
      </c>
      <c r="G18" s="14">
        <v>13</v>
      </c>
    </row>
    <row r="19" spans="1:20" x14ac:dyDescent="0.3">
      <c r="A19" s="39"/>
      <c r="B19" s="39"/>
      <c r="C19" s="39"/>
      <c r="E19" s="43" t="s">
        <v>147</v>
      </c>
      <c r="F19" s="43"/>
      <c r="G19" s="43"/>
    </row>
    <row r="20" spans="1:20" ht="76.8" customHeight="1" x14ac:dyDescent="0.3">
      <c r="A20" s="39"/>
      <c r="B20" s="39"/>
      <c r="C20" s="39"/>
      <c r="E20" s="39"/>
      <c r="F20" s="39"/>
      <c r="G20" s="39"/>
    </row>
    <row r="21" spans="1:20" x14ac:dyDescent="0.3">
      <c r="A21" s="39"/>
      <c r="B21" s="39"/>
      <c r="C21" s="39"/>
    </row>
    <row r="24" spans="1:20" ht="15" thickBot="1" x14ac:dyDescent="0.35">
      <c r="A24" s="40" t="s">
        <v>137</v>
      </c>
      <c r="B24" s="40"/>
      <c r="C24" s="40"/>
      <c r="D24" s="40"/>
      <c r="E24" s="40"/>
      <c r="H24" s="45" t="s">
        <v>145</v>
      </c>
      <c r="I24" s="45"/>
      <c r="J24" s="45"/>
      <c r="M24" s="40" t="s">
        <v>163</v>
      </c>
      <c r="N24" s="40"/>
      <c r="O24" s="40"/>
      <c r="R24" s="40" t="s">
        <v>166</v>
      </c>
      <c r="S24" s="40"/>
      <c r="T24" s="40"/>
    </row>
    <row r="25" spans="1:20" ht="75.599999999999994" customHeight="1" thickBot="1" x14ac:dyDescent="0.35">
      <c r="A25" s="34" t="s">
        <v>45</v>
      </c>
      <c r="B25" s="34" t="s">
        <v>126</v>
      </c>
      <c r="C25" s="34" t="s">
        <v>127</v>
      </c>
      <c r="D25" s="34" t="s">
        <v>128</v>
      </c>
      <c r="E25" s="34" t="s">
        <v>129</v>
      </c>
      <c r="H25" s="34" t="s">
        <v>45</v>
      </c>
      <c r="I25" s="34" t="s">
        <v>139</v>
      </c>
      <c r="J25" s="34" t="s">
        <v>140</v>
      </c>
      <c r="M25" s="34" t="s">
        <v>45</v>
      </c>
      <c r="N25" s="34" t="s">
        <v>148</v>
      </c>
      <c r="O25" s="34" t="s">
        <v>149</v>
      </c>
      <c r="R25" s="34" t="s">
        <v>45</v>
      </c>
      <c r="S25" s="34" t="s">
        <v>86</v>
      </c>
      <c r="T25" s="34" t="s">
        <v>87</v>
      </c>
    </row>
    <row r="26" spans="1:20" ht="35.4" customHeight="1" thickBot="1" x14ac:dyDescent="0.35">
      <c r="A26" s="34" t="s">
        <v>130</v>
      </c>
      <c r="B26" s="35" t="s">
        <v>168</v>
      </c>
      <c r="C26" s="35">
        <v>2.5299999999999998</v>
      </c>
      <c r="D26" s="35" t="s">
        <v>175</v>
      </c>
      <c r="E26" s="35" t="s">
        <v>131</v>
      </c>
      <c r="H26" s="34" t="s">
        <v>135</v>
      </c>
      <c r="I26" s="35">
        <v>8.1</v>
      </c>
      <c r="J26" s="35" t="s">
        <v>141</v>
      </c>
      <c r="M26" s="34" t="s">
        <v>150</v>
      </c>
      <c r="N26" s="35" t="s">
        <v>151</v>
      </c>
      <c r="O26" s="35" t="s">
        <v>152</v>
      </c>
      <c r="R26" s="34" t="s">
        <v>130</v>
      </c>
      <c r="S26" s="35">
        <v>30</v>
      </c>
      <c r="T26" s="35">
        <v>33</v>
      </c>
    </row>
    <row r="27" spans="1:20" ht="35.4" customHeight="1" thickBot="1" x14ac:dyDescent="0.35">
      <c r="A27" s="36" t="s">
        <v>132</v>
      </c>
      <c r="B27" s="37" t="s">
        <v>169</v>
      </c>
      <c r="C27" s="37">
        <v>2.46</v>
      </c>
      <c r="D27" s="37" t="s">
        <v>175</v>
      </c>
      <c r="E27" s="37" t="s">
        <v>182</v>
      </c>
      <c r="H27" s="36" t="s">
        <v>136</v>
      </c>
      <c r="I27" s="37">
        <v>9.1999999999999993</v>
      </c>
      <c r="J27" s="37" t="s">
        <v>142</v>
      </c>
      <c r="M27" s="36" t="s">
        <v>133</v>
      </c>
      <c r="N27" s="37" t="s">
        <v>153</v>
      </c>
      <c r="O27" s="37" t="s">
        <v>154</v>
      </c>
      <c r="R27" s="36" t="s">
        <v>132</v>
      </c>
      <c r="S27" s="37">
        <v>28</v>
      </c>
      <c r="T27" s="37">
        <v>32</v>
      </c>
    </row>
    <row r="28" spans="1:20" ht="35.4" customHeight="1" thickBot="1" x14ac:dyDescent="0.35">
      <c r="A28" s="34" t="s">
        <v>133</v>
      </c>
      <c r="B28" s="35" t="s">
        <v>169</v>
      </c>
      <c r="C28" s="35" t="s">
        <v>172</v>
      </c>
      <c r="D28" s="35" t="s">
        <v>176</v>
      </c>
      <c r="E28" s="35">
        <v>2.12</v>
      </c>
      <c r="H28" s="34" t="s">
        <v>143</v>
      </c>
      <c r="I28" s="35">
        <v>11.3</v>
      </c>
      <c r="J28" s="35" t="s">
        <v>144</v>
      </c>
      <c r="M28" s="34" t="s">
        <v>134</v>
      </c>
      <c r="N28" s="35" t="s">
        <v>155</v>
      </c>
      <c r="O28" s="35" t="s">
        <v>156</v>
      </c>
      <c r="R28" s="34" t="s">
        <v>133</v>
      </c>
      <c r="S28" s="35">
        <v>24</v>
      </c>
      <c r="T28" s="35">
        <v>30</v>
      </c>
    </row>
    <row r="29" spans="1:20" ht="35.4" customHeight="1" thickBot="1" x14ac:dyDescent="0.35">
      <c r="A29" s="36" t="s">
        <v>134</v>
      </c>
      <c r="B29" s="37" t="s">
        <v>169</v>
      </c>
      <c r="C29" s="37">
        <v>2.14</v>
      </c>
      <c r="D29" s="37" t="s">
        <v>177</v>
      </c>
      <c r="E29" s="37" t="s">
        <v>181</v>
      </c>
      <c r="M29" s="36" t="s">
        <v>135</v>
      </c>
      <c r="N29" s="37" t="s">
        <v>157</v>
      </c>
      <c r="O29" s="37" t="s">
        <v>158</v>
      </c>
      <c r="R29" s="36" t="s">
        <v>134</v>
      </c>
      <c r="S29" s="37">
        <v>24</v>
      </c>
      <c r="T29" s="37">
        <v>30</v>
      </c>
    </row>
    <row r="30" spans="1:20" ht="35.4" customHeight="1" thickBot="1" x14ac:dyDescent="0.35">
      <c r="A30" s="34" t="s">
        <v>135</v>
      </c>
      <c r="B30" s="35" t="s">
        <v>170</v>
      </c>
      <c r="C30" s="35" t="s">
        <v>173</v>
      </c>
      <c r="D30" s="35" t="s">
        <v>178</v>
      </c>
      <c r="E30" s="35" t="s">
        <v>180</v>
      </c>
      <c r="M30" s="34" t="s">
        <v>136</v>
      </c>
      <c r="N30" s="35" t="s">
        <v>159</v>
      </c>
      <c r="O30" s="35" t="s">
        <v>160</v>
      </c>
      <c r="R30" s="34" t="s">
        <v>165</v>
      </c>
      <c r="S30" s="35">
        <v>20</v>
      </c>
      <c r="T30" s="35">
        <v>27</v>
      </c>
    </row>
    <row r="31" spans="1:20" ht="35.4" customHeight="1" thickBot="1" x14ac:dyDescent="0.35">
      <c r="A31" s="36" t="s">
        <v>136</v>
      </c>
      <c r="B31" s="37" t="s">
        <v>171</v>
      </c>
      <c r="C31" s="37" t="s">
        <v>174</v>
      </c>
      <c r="D31" s="37" t="s">
        <v>179</v>
      </c>
      <c r="E31" s="37">
        <v>1.75</v>
      </c>
      <c r="M31" s="36" t="s">
        <v>143</v>
      </c>
      <c r="N31" s="37" t="s">
        <v>161</v>
      </c>
      <c r="O31" s="37" t="s">
        <v>162</v>
      </c>
    </row>
    <row r="32" spans="1:20" ht="27.6" customHeight="1" x14ac:dyDescent="0.3"/>
    <row r="33" spans="2:20" ht="70.2" customHeight="1" x14ac:dyDescent="0.3">
      <c r="B33" s="39" t="s">
        <v>138</v>
      </c>
      <c r="C33" s="44"/>
      <c r="D33" s="44"/>
      <c r="H33" s="39" t="s">
        <v>146</v>
      </c>
      <c r="I33" s="44"/>
      <c r="J33" s="44"/>
      <c r="M33" s="39" t="s">
        <v>164</v>
      </c>
      <c r="N33" s="39"/>
      <c r="O33" s="39"/>
      <c r="R33" s="39" t="s">
        <v>167</v>
      </c>
      <c r="S33" s="39"/>
      <c r="T33" s="39"/>
    </row>
    <row r="34" spans="2:20" ht="156" customHeight="1" x14ac:dyDescent="0.3">
      <c r="B34" s="44"/>
      <c r="C34" s="44"/>
      <c r="D34" s="44"/>
      <c r="H34" s="44"/>
      <c r="I34" s="44"/>
      <c r="J34" s="44"/>
      <c r="M34" s="39"/>
      <c r="N34" s="39"/>
      <c r="O34" s="39"/>
      <c r="R34" s="39"/>
      <c r="S34" s="39"/>
      <c r="T34" s="39"/>
    </row>
  </sheetData>
  <mergeCells count="14">
    <mergeCell ref="M24:O24"/>
    <mergeCell ref="M33:O34"/>
    <mergeCell ref="R24:T24"/>
    <mergeCell ref="R33:T34"/>
    <mergeCell ref="A24:E24"/>
    <mergeCell ref="B33:D34"/>
    <mergeCell ref="H24:J24"/>
    <mergeCell ref="H33:J34"/>
    <mergeCell ref="E19:G20"/>
    <mergeCell ref="A1:C1"/>
    <mergeCell ref="E1:G1"/>
    <mergeCell ref="I1:K1"/>
    <mergeCell ref="M1:O1"/>
    <mergeCell ref="A19:C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83D2-EA68-4AAF-8D02-83A09A6CA8A7}">
  <dimension ref="A1:M7"/>
  <sheetViews>
    <sheetView workbookViewId="0">
      <selection activeCell="O13" sqref="O13"/>
    </sheetView>
  </sheetViews>
  <sheetFormatPr defaultRowHeight="14.4" x14ac:dyDescent="0.3"/>
  <cols>
    <col min="13" max="13" width="22.88671875" customWidth="1"/>
  </cols>
  <sheetData>
    <row r="1" spans="1:13" ht="28.8" x14ac:dyDescent="0.3">
      <c r="B1" t="s">
        <v>183</v>
      </c>
      <c r="C1" t="s">
        <v>184</v>
      </c>
      <c r="D1" t="s">
        <v>185</v>
      </c>
      <c r="E1" t="s">
        <v>186</v>
      </c>
      <c r="F1" t="s">
        <v>187</v>
      </c>
      <c r="H1">
        <v>15</v>
      </c>
      <c r="J1" s="33" t="s">
        <v>206</v>
      </c>
      <c r="K1" s="33" t="s">
        <v>207</v>
      </c>
      <c r="L1" s="33" t="s">
        <v>43</v>
      </c>
      <c r="M1" s="33" t="s">
        <v>208</v>
      </c>
    </row>
    <row r="2" spans="1:13" x14ac:dyDescent="0.3">
      <c r="A2" t="s">
        <v>188</v>
      </c>
      <c r="B2" t="s">
        <v>193</v>
      </c>
      <c r="C2" t="s">
        <v>194</v>
      </c>
      <c r="D2" t="s">
        <v>195</v>
      </c>
      <c r="E2" t="s">
        <v>191</v>
      </c>
      <c r="F2" t="s">
        <v>192</v>
      </c>
      <c r="H2">
        <v>8</v>
      </c>
      <c r="J2" s="33">
        <v>18</v>
      </c>
      <c r="K2" s="33">
        <v>29</v>
      </c>
      <c r="L2" s="33" t="s">
        <v>209</v>
      </c>
      <c r="M2" s="33">
        <v>8</v>
      </c>
    </row>
    <row r="3" spans="1:13" x14ac:dyDescent="0.3">
      <c r="A3" t="s">
        <v>189</v>
      </c>
      <c r="B3" t="s">
        <v>196</v>
      </c>
      <c r="C3" t="s">
        <v>197</v>
      </c>
      <c r="D3" t="s">
        <v>198</v>
      </c>
      <c r="E3" t="s">
        <v>199</v>
      </c>
      <c r="F3" t="s">
        <v>200</v>
      </c>
      <c r="J3" s="33">
        <v>30</v>
      </c>
      <c r="K3" s="33">
        <v>39</v>
      </c>
      <c r="L3" s="33" t="s">
        <v>209</v>
      </c>
      <c r="M3" s="33">
        <v>8.8000000000000007</v>
      </c>
    </row>
    <row r="4" spans="1:13" x14ac:dyDescent="0.3">
      <c r="A4" t="s">
        <v>190</v>
      </c>
      <c r="B4" t="s">
        <v>201</v>
      </c>
      <c r="C4" t="s">
        <v>202</v>
      </c>
      <c r="D4" t="s">
        <v>203</v>
      </c>
      <c r="E4" t="s">
        <v>204</v>
      </c>
      <c r="F4" t="s">
        <v>205</v>
      </c>
      <c r="J4" s="33">
        <v>40</v>
      </c>
      <c r="K4" s="33">
        <v>49</v>
      </c>
      <c r="L4" s="33" t="s">
        <v>209</v>
      </c>
      <c r="M4" s="33">
        <v>9.6</v>
      </c>
    </row>
    <row r="5" spans="1:13" x14ac:dyDescent="0.3">
      <c r="J5" s="33">
        <v>50</v>
      </c>
      <c r="K5" s="33">
        <v>59</v>
      </c>
      <c r="L5" s="33" t="s">
        <v>209</v>
      </c>
      <c r="M5" s="33">
        <v>10.5</v>
      </c>
    </row>
    <row r="6" spans="1:13" x14ac:dyDescent="0.3">
      <c r="J6" s="33">
        <v>60</v>
      </c>
      <c r="K6" s="33">
        <v>69</v>
      </c>
      <c r="L6" s="33" t="s">
        <v>209</v>
      </c>
      <c r="M6" s="33">
        <v>11.5</v>
      </c>
    </row>
    <row r="7" spans="1:13" x14ac:dyDescent="0.3">
      <c r="J7" s="33">
        <v>70</v>
      </c>
      <c r="K7" s="33">
        <v>79</v>
      </c>
      <c r="L7" s="33" t="s">
        <v>209</v>
      </c>
      <c r="M7" s="33">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6970-EB1B-4631-A281-E7765A214DDE}">
  <dimension ref="A1:AA47"/>
  <sheetViews>
    <sheetView tabSelected="1" zoomScale="73" zoomScaleNormal="85" workbookViewId="0">
      <selection activeCell="J25" sqref="J25"/>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9" max="9" width="15.44140625" customWidth="1"/>
    <col min="10" max="10" width="15.5546875" customWidth="1"/>
    <col min="11" max="11" width="16" customWidth="1"/>
    <col min="12" max="12" width="13.6640625" customWidth="1"/>
    <col min="13" max="13" width="14.44140625" customWidth="1"/>
    <col min="14" max="14" width="20.77734375" customWidth="1"/>
    <col min="15" max="15" width="12.33203125" customWidth="1"/>
    <col min="16" max="16" width="9" bestFit="1" customWidth="1"/>
    <col min="17" max="17" width="18.77734375" customWidth="1"/>
    <col min="18" max="18" width="17" customWidth="1"/>
    <col min="20" max="20" width="21" customWidth="1"/>
    <col min="21" max="21" width="13.21875" customWidth="1"/>
    <col min="23" max="23" width="9" bestFit="1" customWidth="1"/>
    <col min="24" max="24" width="13.33203125" bestFit="1" customWidth="1"/>
    <col min="26" max="26" width="11.21875" customWidth="1"/>
    <col min="27" max="27" width="9" bestFit="1" customWidth="1"/>
  </cols>
  <sheetData>
    <row r="1" spans="1:20" x14ac:dyDescent="0.3">
      <c r="A1" t="s">
        <v>13</v>
      </c>
      <c r="B1" t="s">
        <v>14</v>
      </c>
      <c r="C1" s="2"/>
      <c r="O1" s="8"/>
      <c r="R1" t="s">
        <v>42</v>
      </c>
    </row>
    <row r="2" spans="1:20" x14ac:dyDescent="0.3">
      <c r="A2" s="3" t="s">
        <v>0</v>
      </c>
      <c r="B2" s="3" t="s">
        <v>15</v>
      </c>
      <c r="C2" s="9">
        <v>48</v>
      </c>
      <c r="N2" s="8"/>
      <c r="O2" s="21"/>
      <c r="Q2" s="3" t="s">
        <v>0</v>
      </c>
      <c r="R2" s="16">
        <f>B27+ ((1 -((C2 / 48) * 0.7 )-((C3 / 100) * 0.3 )) * 100)</f>
        <v>20.000000000000007</v>
      </c>
    </row>
    <row r="3" spans="1:20" x14ac:dyDescent="0.3">
      <c r="A3" s="3" t="s">
        <v>0</v>
      </c>
      <c r="B3" s="3" t="s">
        <v>16</v>
      </c>
      <c r="C3" s="9">
        <v>100</v>
      </c>
      <c r="N3" s="8"/>
      <c r="O3" s="21"/>
      <c r="Q3" s="4" t="s">
        <v>1</v>
      </c>
      <c r="R3" s="4">
        <f ca="1">((O4/100*50)+(O5/100*25)+(O6/100*25))</f>
        <v>19.999999999999996</v>
      </c>
      <c r="T3" s="23" t="s">
        <v>8</v>
      </c>
    </row>
    <row r="4" spans="1:20" ht="18" customHeight="1" x14ac:dyDescent="0.3">
      <c r="A4" s="4" t="s">
        <v>17</v>
      </c>
      <c r="B4" s="4" t="s">
        <v>18</v>
      </c>
      <c r="C4" s="10">
        <v>48</v>
      </c>
      <c r="N4" s="8"/>
      <c r="O4" s="18">
        <f ca="1">IF(B27&lt;30, FORECAST(C4, OFFSET(Strength_Normative_Data!$A$3, MATCH(C4, Strength_Normative_Data!$B$3:$B$5, 1)-1, 0, 2), OFFSET(Strength_Normative_Data!$B$3, MATCH(C4, Strength_Normative_Data!$B$3:$B$5, 1)-1, 0, 2)), FORECAST(C4, OFFSET(Strength_Normative_Data!$A$5, MATCH(C4, Strength_Normative_Data!$B$5:$B$16, -1)-1, 0, 2), OFFSET(Strength_Normative_Data!$B$5, MATCH(C4, Strength_Normative_Data!$B$5:$B$16, -1)-1, 0, 2)))</f>
        <v>20</v>
      </c>
      <c r="Q4" s="5" t="s">
        <v>2</v>
      </c>
      <c r="R4" s="5" cm="1">
        <f t="array" ref="R4">_xlfn.LET(
  _xlpm.idx, Q11,
  _xlpm.age, B27,
  _xlpm.sex, C27,
  _xlpm.span, --Metabolic_Normative_Data!$H$1,
  _xlpm.t, Metabolic_Normative_Data!$J$2:$M$20,
  _xlpm.mins, INDEX(_xlpm.t,,1),
  _xlpm.maxs, INDEX(_xlpm.t,,2),
  _xlpm.sexes, INDEX(_xlpm.t,,3),
  _xlpm.bases, INDEX(_xlpm.t,,4),
  _xlpm.r, _xlfn.XMATCH(1,(_xlpm.age&gt;=_xlpm.mins)*(_xlpm.age&lt;=_xlpm.maxs)*((_xlpm.sexes=_xlpm.sex)+(_xlpm.sexes="Any")&gt;0),0),
  _xlpm.base, INDEX(_xlpm.bases,_xlpm.r),
  _xlpm.delta, (_xlpm.idx-_xlpm.base)*(_xlpm.span/_xlpm.base),
  _xlpm.age + MAX(-_xlpm.span, MIN(_xlpm.span, _xlpm.delta))
)</f>
        <v>20.28125</v>
      </c>
      <c r="T4" s="1">
        <f ca="1">(R2/100*20)+(R3/100*20)+(R4/100*25)+(R5/100*20)+(R6/100*15)</f>
        <v>20.0703125</v>
      </c>
    </row>
    <row r="5" spans="1:20" x14ac:dyDescent="0.3">
      <c r="A5" s="4" t="s">
        <v>17</v>
      </c>
      <c r="B5" s="4" t="s">
        <v>19</v>
      </c>
      <c r="C5" s="10">
        <v>4.3</v>
      </c>
      <c r="L5" s="8"/>
      <c r="M5" s="8"/>
      <c r="N5" s="8"/>
      <c r="O5" s="18">
        <f ca="1">FORECAST(C5, OFFSET(Strength_Normative_Data!$O$3, MATCH(C5, Strength_Normative_Data!$P$3:$P$17, -1)-1, 0, 2), OFFSET(Strength_Normative_Data!$P$3, MATCH(C5, Strength_Normative_Data!$P$3:$P$17, -1)-1, 0, 2))</f>
        <v>19.999999999999986</v>
      </c>
      <c r="Q5" s="6" t="s">
        <v>29</v>
      </c>
      <c r="R5" s="6">
        <f ca="1">((O14/100*30)+(O15/100*25)+(O16/100*30)+(O17/100*15))</f>
        <v>20</v>
      </c>
    </row>
    <row r="6" spans="1:20" x14ac:dyDescent="0.3">
      <c r="A6" s="4" t="s">
        <v>17</v>
      </c>
      <c r="B6" s="4" t="s">
        <v>20</v>
      </c>
      <c r="C6" s="10">
        <v>53</v>
      </c>
      <c r="L6" s="8"/>
      <c r="M6" s="8"/>
      <c r="N6" s="8"/>
      <c r="O6" s="18">
        <f ca="1">FORECAST(C6, OFFSET(Strength_Normative_Data!$J$3, MATCH(C6, Strength_Normative_Data!$K$3:$K$16, -1)-1, 0, 2), OFFSET(Strength_Normative_Data!$K$3, MATCH(C6, Strength_Normative_Data!$K$3:$K$16, -1)-1, 0, 2))</f>
        <v>20</v>
      </c>
      <c r="Q6" s="7" t="s">
        <v>4</v>
      </c>
      <c r="R6" s="7">
        <f>((O18/100*60)+(O19/100*40))</f>
        <v>20</v>
      </c>
    </row>
    <row r="7" spans="1:20" x14ac:dyDescent="0.3">
      <c r="A7" s="5" t="s">
        <v>21</v>
      </c>
      <c r="B7" s="5" t="s">
        <v>22</v>
      </c>
      <c r="C7" s="11">
        <v>22</v>
      </c>
      <c r="L7" s="8"/>
      <c r="M7" s="8"/>
      <c r="N7" s="8"/>
      <c r="O7" s="22"/>
    </row>
    <row r="8" spans="1:20" x14ac:dyDescent="0.3">
      <c r="A8" s="5" t="s">
        <v>21</v>
      </c>
      <c r="B8" s="5" t="s">
        <v>23</v>
      </c>
      <c r="C8" s="11">
        <v>0.48</v>
      </c>
      <c r="L8" s="8"/>
      <c r="M8" s="8"/>
      <c r="N8" s="8"/>
      <c r="O8" s="22" cm="1">
        <f t="array" ref="O8">_xlfn.LET(
  _xlpm.x, C8,
  _xlpm.mk,  "WHtR",
  _xlpm.hdr, Metabolic_Normative_Data!$B$1:$F$1,
  _xlpm.rows, Metabolic_Normative_Data!$A$2:$A$4,
  _xlpm.dat, Metabolic_Normative_Data!$B$2:$F$4,
  _xlpm.c, _xlfn.XMATCH(_xlpm.mk, _xlpm.hdr),
  _xlpm.sLow, INDEX(_xlpm.dat, _xlfn.XMATCH("Low risk", _xlpm.rows), _xlpm.c),
  _xlpm.sNor, INDEX(_xlpm.dat, _xlfn.XMATCH("Normal", _xlpm.rows),  _xlpm.c),
  _xlpm.sElev,INDEX(_xlpm.dat, _xlfn.XMATCH("Elevated", _xlpm.rows),_xlpm.c),
  _xlpm.clean, _xlfn.LAMBDA(_xlpm.s, SUBSTITUTE(SUBSTITUTE(TRIM(_xlpm.s)," ",""),"–","-")),
  _xlpm.hiFrom, _xlfn.LAMBDA(_xlpm.s,
    _xlfn.LET(_xlpm.t, CLEAN(_xlpm.s),
      IF(LEFT(_xlpm.t,1)="&lt;", VALUE(MID(_xlpm.t,2,99)),
        IF(ISNUMBER(SEARCH("-",_xlpm.t)), VALUE(_xlfn.TEXTAFTER(_xlpm.t,"-")), 1E+99)
      )
    )
  ),
  _xlpm.loFrom, _xlfn.LAMBDA(_xlpm.s,
    _xlfn.LET(_xlpm.t, CLEAN(_xlpm.s),
      IF(LEFT(_xlpm.t,1)="&gt;", VALUE(MID(_xlpm.t,2,99)),
        IF(ISNUMBER(SEARCH("-",_xlpm.t)), VALUE(_xlfn.TEXTBEFORE(_xlpm.t,"-")), -1E+99)
      )
    )
  ),
  _xlpm.lowMax, _xlpm.hiFrom(_xlpm.sLow),
  _xlpm.norMin, _xlpm.loFrom(_xlpm.sNor),
  _xlpm.norMax, _xlpm.hiFrom(_xlpm.sNor),
  _xlpm.elevMin, _xlpm.loFrom(_xlpm.sElev),
  _xlpm.span, MAX(_xlpm.norMax-_xlpm.lowMax, 0.000001),
  _xlpm.score,
    IF(_xlpm.x&lt;=_xlpm.lowMax,
       5,
       IF(_xlpm.x&lt;_xlpm.elevMin,
          5 + 30 * (_xlpm.x-_xlpm.lowMax) / MAX(_xlpm.elevMin-_xlpm.lowMax,0.000001),
          35 + 65 * (_xlpm.x-_xlpm.elevMin) / (2*_xlpm.span)
       )
    ),
  MAX(0, MIN(100, _xlpm.score))
)</f>
        <v>5</v>
      </c>
    </row>
    <row r="9" spans="1:20" x14ac:dyDescent="0.3">
      <c r="A9" s="5" t="s">
        <v>21</v>
      </c>
      <c r="B9" s="5" t="s">
        <v>24</v>
      </c>
      <c r="C9" s="11">
        <v>5.0999999999999996</v>
      </c>
      <c r="L9" s="8"/>
      <c r="M9" s="8"/>
      <c r="N9" s="8"/>
      <c r="O9" s="22"/>
    </row>
    <row r="10" spans="1:20" x14ac:dyDescent="0.3">
      <c r="A10" s="5" t="s">
        <v>21</v>
      </c>
      <c r="B10" s="5" t="s">
        <v>25</v>
      </c>
      <c r="C10" s="11">
        <v>5.3</v>
      </c>
      <c r="L10" s="8"/>
      <c r="M10" s="8"/>
      <c r="N10" s="8"/>
      <c r="O10" s="22" cm="1">
        <f t="array" ref="O10">_xlfn.LET(
  _xlpm.x, C10,
  _xlpm.mk,  "HbA1c",
  _xlpm.hdr, Metabolic_Normative_Data!$B$1:$F$1,
  _xlpm.rows, Metabolic_Normative_Data!$A$2:$A$4,
  _xlpm.dat, Metabolic_Normative_Data!$B$2:$F$4,
  _xlpm.c, _xlfn.XMATCH(_xlpm.mk, _xlpm.hdr),
  _xlpm.sLow, INDEX(_xlpm.dat, _xlfn.XMATCH("Low risk", _xlpm.rows), _xlpm.c),
  _xlpm.sNor, INDEX(_xlpm.dat, _xlfn.XMATCH("Normal", _xlpm.rows),  _xlpm.c),
  _xlpm.sElev,INDEX(_xlpm.dat, _xlfn.XMATCH("Elevated", _xlpm.rows),_xlpm.c),
  _xlpm.clean, _xlfn.LAMBDA(_xlpm.s, SUBSTITUTE(SUBSTITUTE(TRIM(_xlpm.s)," ",""),"–","-")),
  _xlpm.hiFrom, _xlfn.LAMBDA(_xlpm.s,
    _xlfn.LET(_xlpm.t, CLEAN(_xlpm.s),
      IF(LEFT(_xlpm.t,1)="&lt;", VALUE(MID(_xlpm.t,2,99)),
        IF(ISNUMBER(SEARCH("-",_xlpm.t)), VALUE(_xlfn.TEXTAFTER(_xlpm.t,"-")), 1E+99)
      )
    )
  ),
  _xlpm.loFrom, _xlfn.LAMBDA(_xlpm.s,
    _xlfn.LET(_xlpm.t, CLEAN(_xlpm.s),
      IF(LEFT(_xlpm.t,1)="&gt;", VALUE(MID(_xlpm.t,2,99)),
        IF(ISNUMBER(SEARCH("-",_xlpm.t)), VALUE(_xlfn.TEXTBEFORE(_xlpm.t,"-")), -1E+99)
      )
    )
  ),
  _xlpm.lowMax, _xlpm.hiFrom(_xlpm.sLow),
  _xlpm.norMin, _xlpm.loFrom(_xlpm.sNor),
  _xlpm.norMax, _xlpm.hiFrom(_xlpm.sNor),
  _xlpm.elevMin, _xlpm.loFrom(_xlpm.sElev),
  _xlpm.span, MAX(_xlpm.norMax-_xlpm.lowMax, 0.000001),
  _xlpm.score,
    IF(_xlpm.x&lt;=_xlpm.lowMax,
       5,
       IF(_xlpm.x&lt;_xlpm.elevMin,
          5 + 30 * (_xlpm.x-_xlpm.lowMax) / MAX(_xlpm.elevMin-_xlpm.lowMax,0.000001),
          35 + 65 * (_xlpm.x-_xlpm.elevMin) / (2*_xlpm.span)
       )
    ),
  MAX(0, MIN(100, _xlpm.score))
)</f>
        <v>5</v>
      </c>
      <c r="Q10" t="s">
        <v>89</v>
      </c>
    </row>
    <row r="11" spans="1:20" x14ac:dyDescent="0.3">
      <c r="A11" s="5" t="s">
        <v>21</v>
      </c>
      <c r="B11" s="5" t="s">
        <v>26</v>
      </c>
      <c r="C11" s="11">
        <v>1.8</v>
      </c>
      <c r="L11" s="8"/>
      <c r="M11" s="8"/>
      <c r="N11" s="8"/>
      <c r="O11" s="5" cm="1">
        <f t="array" ref="O11">_xlfn.LET(
  _xlpm.x, C11,
  _xlpm.mk,  "Homa",
  _xlpm.hdr, Metabolic_Normative_Data!$B$1:$F$1,
  _xlpm.rows, Metabolic_Normative_Data!$A$2:$A$4,
  _xlpm.dat, Metabolic_Normative_Data!$B$2:$F$4,
  _xlpm.c, _xlfn.XMATCH(_xlpm.mk, _xlpm.hdr),
  _xlpm.sLow, INDEX(_xlpm.dat, _xlfn.XMATCH("Low risk", _xlpm.rows), _xlpm.c),
  _xlpm.sNor, INDEX(_xlpm.dat, _xlfn.XMATCH("Normal", _xlpm.rows),  _xlpm.c),
  _xlpm.sElev,INDEX(_xlpm.dat, _xlfn.XMATCH("Elevated", _xlpm.rows),_xlpm.c),
  _xlpm.clean, _xlfn.LAMBDA(_xlpm.s, SUBSTITUTE(SUBSTITUTE(TRIM(_xlpm.s)," ",""),"–","-")),
  _xlpm.hiFrom, _xlfn.LAMBDA(_xlpm.s,
    _xlfn.LET(_xlpm.t, CLEAN(_xlpm.s),
      IF(LEFT(_xlpm.t,1)="&lt;", VALUE(MID(_xlpm.t,2,99)),
        IF(ISNUMBER(SEARCH("-",_xlpm.t)), VALUE(_xlfn.TEXTAFTER(_xlpm.t,"-")), 1E+99)
      )
    )
  ),
  _xlpm.loFrom, _xlfn.LAMBDA(_xlpm.s,
    _xlfn.LET(_xlpm.t, CLEAN(_xlpm.s),
      IF(LEFT(_xlpm.t,1)="&gt;", VALUE(MID(_xlpm.t,2,99)),
        IF(ISNUMBER(SEARCH("-",_xlpm.t)), VALUE(_xlfn.TEXTBEFORE(_xlpm.t,"-")), -1E+99)
      )
    )
  ),
  _xlpm.lowMax, _xlpm.hiFrom(_xlpm.sLow),
  _xlpm.norMin, _xlpm.loFrom(_xlpm.sNor),
  _xlpm.norMax, _xlpm.hiFrom(_xlpm.sNor),
  _xlpm.elevMin, _xlpm.loFrom(_xlpm.sElev),
  _xlpm.span, MAX(_xlpm.norMax-_xlpm.lowMax, 0.000001),
  _xlpm.score,
    IF(_xlpm.x&lt;=_xlpm.lowMax,
       5,
       IF(_xlpm.x&lt;_xlpm.elevMin,
          5 + 30 * (_xlpm.x-_xlpm.lowMax) / MAX(_xlpm.elevMin-_xlpm.lowMax,0.000001),
          35 + 65 * (_xlpm.x-_xlpm.elevMin) / (2*_xlpm.span)
       )
    ),
  MAX(0, MIN(100, _xlpm.score))
)</f>
        <v>14.000000000000002</v>
      </c>
      <c r="Q11">
        <f>(0.3*P12)+(0.2*O8)+(0.15*O10)+(0.25*O11)+(0.1*O13)</f>
        <v>8.15</v>
      </c>
    </row>
    <row r="12" spans="1:20" x14ac:dyDescent="0.3">
      <c r="A12" s="5" t="s">
        <v>21</v>
      </c>
      <c r="B12" s="5" t="s">
        <v>27</v>
      </c>
      <c r="C12" s="11">
        <v>0.85</v>
      </c>
      <c r="L12" s="8"/>
      <c r="M12" s="8"/>
      <c r="N12" s="8"/>
      <c r="O12" s="5">
        <f>C12*100</f>
        <v>85</v>
      </c>
      <c r="P12" s="5" cm="1">
        <f t="array" ref="P12">_xlfn.LET(
  _xlpm.x, C12,
  _xlpm.mk,  "ApoB",
  _xlpm.hdr, Metabolic_Normative_Data!$B$1:$F$1,
  _xlpm.rows, Metabolic_Normative_Data!$A$2:$A$4,
  _xlpm.dat, Metabolic_Normative_Data!$B$2:$F$4,
  _xlpm.c, _xlfn.XMATCH(_xlpm.mk, _xlpm.hdr),
  _xlpm.sLow, INDEX(_xlpm.dat, _xlfn.XMATCH("Low risk", _xlpm.rows), _xlpm.c),
  _xlpm.sNor, INDEX(_xlpm.dat, _xlfn.XMATCH("Normal", _xlpm.rows),  _xlpm.c),
  _xlpm.sElev,INDEX(_xlpm.dat, _xlfn.XMATCH("Elevated", _xlpm.rows),_xlpm.c),
  _xlpm.clean, _xlfn.LAMBDA(_xlpm.s, SUBSTITUTE(SUBSTITUTE(TRIM(_xlpm.s)," ",""),"–","-")),
  _xlpm.hiFrom, _xlfn.LAMBDA(_xlpm.s,
    _xlfn.LET(_xlpm.t, CLEAN(_xlpm.s),
      IF(LEFT(_xlpm.t,1)="&lt;", VALUE(MID(_xlpm.t,2,99)),
        IF(ISNUMBER(SEARCH("-",_xlpm.t)), VALUE(_xlfn.TEXTAFTER(_xlpm.t,"-")), 1E+99)
      )
    )
  ),
  _xlpm.loFrom, _xlfn.LAMBDA(_xlpm.s,
    _xlfn.LET(_xlpm.t, CLEAN(_xlpm.s),
      IF(LEFT(_xlpm.t,1)="&gt;", VALUE(MID(_xlpm.t,2,99)),
        IF(ISNUMBER(SEARCH("-",_xlpm.t)), VALUE(_xlfn.TEXTBEFORE(_xlpm.t,"-")), -1E+99)
      )
    )
  ),
  _xlpm.lowMax, _xlpm.hiFrom(_xlpm.sLow),
  _xlpm.norMin, _xlpm.loFrom(_xlpm.sNor),
  _xlpm.norMax, _xlpm.hiFrom(_xlpm.sNor),
  _xlpm.elevMin, _xlpm.loFrom(_xlpm.sElev),
  _xlpm.span, MAX(_xlpm.norMax-_xlpm.lowMax, 0.000001),
  _xlpm.score,
    IF(_xlpm.x&lt;=_xlpm.lowMax,
       5,
       IF(_xlpm.x&lt;_xlpm.elevMin,
          5 + 30 * (_xlpm.x-_xlpm.lowMax) / MAX(_xlpm.elevMin-_xlpm.lowMax,0.000001),
          35 + 65 * (_xlpm.x-_xlpm.elevMin) / (2*_xlpm.span)
       )
    ),
  MAX(0, MIN(100, _xlpm.score))
)</f>
        <v>5</v>
      </c>
    </row>
    <row r="13" spans="1:20" x14ac:dyDescent="0.3">
      <c r="A13" s="5" t="s">
        <v>21</v>
      </c>
      <c r="B13" s="5" t="s">
        <v>28</v>
      </c>
      <c r="C13" s="11">
        <v>1.2</v>
      </c>
      <c r="L13" s="8"/>
      <c r="M13" s="8"/>
      <c r="N13" s="8"/>
      <c r="O13" s="5">
        <f xml:space="preserve">
IF(C13&lt;1,10*(C13/1),
IF(C13&lt;3,10+40*(C13-1)/2,
50+50*(MIN(C13,10)-3)/7))</f>
        <v>14</v>
      </c>
    </row>
    <row r="14" spans="1:20" x14ac:dyDescent="0.3">
      <c r="A14" s="6" t="s">
        <v>29</v>
      </c>
      <c r="B14" s="6" t="s">
        <v>30</v>
      </c>
      <c r="C14" s="12">
        <v>1.36</v>
      </c>
      <c r="L14" s="8"/>
      <c r="M14" s="8"/>
      <c r="N14" s="8"/>
      <c r="O14" s="12">
        <f ca="1">IFERROR(FORECAST(C14, OFFSET(Mobility_Normative_Data!$A$3, MATCH(C14, Mobility_Normative_Data!$B$3:$B$17, -1)-1, 0, 2), OFFSET(Mobility_Normative_Data!$B$3, MATCH(C14, Mobility_Normative_Data!$B$3:$B$17, -1)-1, 0, 2)), INDEX(Mobility_Normative_Data!$A$3:$A$17, MATCH(C14, Mobility_Normative_Data!$B$3:$B$17, -1)))</f>
        <v>20</v>
      </c>
    </row>
    <row r="15" spans="1:20" x14ac:dyDescent="0.3">
      <c r="A15" s="6" t="s">
        <v>29</v>
      </c>
      <c r="B15" s="6" t="s">
        <v>31</v>
      </c>
      <c r="C15" s="12">
        <v>5</v>
      </c>
      <c r="L15" s="8"/>
      <c r="M15" s="8"/>
      <c r="N15" s="8"/>
      <c r="O15" s="12">
        <f ca="1">FORECAST(C15, OFFSET(Mobility_Normative_Data!$E$3, MATCH(C15, Mobility_Normative_Data!$F$3:$F$18, 1)-1, 0, 2), OFFSET(Mobility_Normative_Data!$F$3, MATCH(C15, Mobility_Normative_Data!$F$3:$F$18, 1)-1, 0, 2))</f>
        <v>20</v>
      </c>
    </row>
    <row r="16" spans="1:20" x14ac:dyDescent="0.3">
      <c r="A16" s="6" t="s">
        <v>29</v>
      </c>
      <c r="B16" s="6" t="s">
        <v>32</v>
      </c>
      <c r="C16" s="12">
        <v>45</v>
      </c>
      <c r="L16" s="8"/>
      <c r="M16" s="8"/>
      <c r="N16" s="8"/>
      <c r="O16" s="12">
        <f ca="1">FORECAST(C16, OFFSET(Mobility_Normative_Data!$I$3, MATCH(C16, Mobility_Normative_Data!$J$3:$J$17, -1)-1, 0, 2), OFFSET(Mobility_Normative_Data!$J$3, MATCH(C16, Mobility_Normative_Data!$J$3:$J$17, -1)-1, 0, 2))</f>
        <v>20</v>
      </c>
    </row>
    <row r="17" spans="1:27" x14ac:dyDescent="0.3">
      <c r="A17" s="6" t="s">
        <v>29</v>
      </c>
      <c r="B17" s="6" t="s">
        <v>33</v>
      </c>
      <c r="C17" s="12">
        <v>39</v>
      </c>
      <c r="L17" s="8"/>
      <c r="M17" s="8"/>
      <c r="N17" s="8"/>
      <c r="O17" s="12">
        <f ca="1">FORECAST(C17, OFFSET(Mobility_Normative_Data!$M$3, MATCH(C17, Mobility_Normative_Data!$N$3:$N$17, -1)-1, 0, 2), OFFSET(Mobility_Normative_Data!$N$3, MATCH(C17, Mobility_Normative_Data!$N$3:$N$17, -1)-1, 0, 2))</f>
        <v>20</v>
      </c>
    </row>
    <row r="18" spans="1:27" x14ac:dyDescent="0.3">
      <c r="A18" s="7" t="s">
        <v>34</v>
      </c>
      <c r="B18" s="7" t="s">
        <v>35</v>
      </c>
      <c r="C18" s="13">
        <v>0</v>
      </c>
      <c r="L18" s="8"/>
      <c r="M18" s="8"/>
      <c r="N18" s="8"/>
      <c r="O18" s="20">
        <f>MAX(18,B27-(C18*25))</f>
        <v>20</v>
      </c>
    </row>
    <row r="19" spans="1:27" x14ac:dyDescent="0.3">
      <c r="A19" s="7" t="s">
        <v>34</v>
      </c>
      <c r="B19" s="7" t="s">
        <v>36</v>
      </c>
      <c r="C19" s="13">
        <v>0</v>
      </c>
      <c r="L19" s="8"/>
      <c r="M19" s="8"/>
      <c r="N19" s="8"/>
      <c r="O19" s="20">
        <f>MAX(18,B27-(J1925))</f>
        <v>20</v>
      </c>
    </row>
    <row r="23" spans="1:27" x14ac:dyDescent="0.3">
      <c r="A23" s="38" t="s">
        <v>37</v>
      </c>
      <c r="B23" s="38"/>
      <c r="C23" s="38"/>
      <c r="D23" s="38"/>
      <c r="E23" s="38"/>
      <c r="F23" s="38"/>
    </row>
    <row r="25" spans="1:27" x14ac:dyDescent="0.3">
      <c r="B25" t="s">
        <v>5</v>
      </c>
      <c r="C25" t="s">
        <v>6</v>
      </c>
      <c r="D25" t="s">
        <v>9</v>
      </c>
      <c r="E25" t="s">
        <v>10</v>
      </c>
      <c r="F25" t="s">
        <v>11</v>
      </c>
    </row>
    <row r="26" spans="1:27" x14ac:dyDescent="0.3">
      <c r="A26" t="s">
        <v>43</v>
      </c>
      <c r="B26" t="s">
        <v>209</v>
      </c>
    </row>
    <row r="27" spans="1:27" x14ac:dyDescent="0.3">
      <c r="A27" t="s">
        <v>7</v>
      </c>
      <c r="B27">
        <v>20</v>
      </c>
      <c r="C27">
        <f>B27+10</f>
        <v>30</v>
      </c>
      <c r="D27">
        <f>C27+10</f>
        <v>40</v>
      </c>
      <c r="E27">
        <f>D27+10</f>
        <v>50</v>
      </c>
      <c r="F27">
        <f>E27+10</f>
        <v>60</v>
      </c>
    </row>
    <row r="28" spans="1:27" x14ac:dyDescent="0.3">
      <c r="A28" t="s">
        <v>0</v>
      </c>
      <c r="B28" s="24">
        <f>R2</f>
        <v>20.000000000000007</v>
      </c>
      <c r="C28">
        <f>B28+(B28/100*11.5)</f>
        <v>22.300000000000008</v>
      </c>
      <c r="D28">
        <f>C28+(C28/100*32.2)</f>
        <v>29.48060000000001</v>
      </c>
      <c r="E28">
        <f>D28+(D28/100*32.2)</f>
        <v>38.973353200000012</v>
      </c>
      <c r="F28">
        <f>E28+(E28/100*32.2)</f>
        <v>51.522772930400016</v>
      </c>
    </row>
    <row r="29" spans="1:27" x14ac:dyDescent="0.3">
      <c r="A29" t="s">
        <v>1</v>
      </c>
      <c r="B29">
        <f ca="1">R3</f>
        <v>19.999999999999996</v>
      </c>
      <c r="C29">
        <f ca="1">B29+(B29/100*12.3)</f>
        <v>22.459999999999997</v>
      </c>
      <c r="D29">
        <f ca="1">C29+(C29/100*30.8)</f>
        <v>29.377679999999998</v>
      </c>
      <c r="E29">
        <f ca="1">D29+(D29/100*30.8)</f>
        <v>38.426005439999997</v>
      </c>
      <c r="F29">
        <f ca="1">E29+(E29/100*30.8)</f>
        <v>50.261215115519995</v>
      </c>
    </row>
    <row r="30" spans="1:27" x14ac:dyDescent="0.3">
      <c r="A30" t="s">
        <v>2</v>
      </c>
      <c r="B30">
        <f>R4</f>
        <v>20.28125</v>
      </c>
      <c r="C30">
        <f>B30+(B30/100*5.5)</f>
        <v>21.396718750000002</v>
      </c>
      <c r="D30">
        <f>C30+(C30/100*11)</f>
        <v>23.750357812500003</v>
      </c>
      <c r="E30">
        <f>D30+(D30/100*11)</f>
        <v>26.362897171875002</v>
      </c>
      <c r="F30">
        <f>E30+(E30/100*11)</f>
        <v>29.262815860781252</v>
      </c>
    </row>
    <row r="31" spans="1:27" x14ac:dyDescent="0.3">
      <c r="A31" t="s">
        <v>3</v>
      </c>
      <c r="B31">
        <f ca="1">R5</f>
        <v>20</v>
      </c>
      <c r="C31">
        <f ca="1">B31+(B31/100*9.9)</f>
        <v>21.98</v>
      </c>
      <c r="D31">
        <f ca="1">C31+(C31/100*19.8)</f>
        <v>26.332039999999999</v>
      </c>
      <c r="E31">
        <f ca="1">D31+(D31/100*19.8)</f>
        <v>31.545783919999998</v>
      </c>
      <c r="F31">
        <f ca="1">E31+(E31/100*19.8)</f>
        <v>37.791849136159996</v>
      </c>
      <c r="N31" s="39" t="s">
        <v>104</v>
      </c>
      <c r="O31" s="39"/>
      <c r="P31" s="39"/>
      <c r="Q31" s="39"/>
      <c r="R31" s="39"/>
      <c r="S31" s="39"/>
      <c r="T31" s="39"/>
      <c r="U31" s="39"/>
      <c r="V31" s="39"/>
      <c r="W31" s="39"/>
      <c r="X31" s="39"/>
      <c r="Y31" s="39"/>
      <c r="Z31" s="39"/>
      <c r="AA31" s="39"/>
    </row>
    <row r="32" spans="1:27" ht="86.4" x14ac:dyDescent="0.3">
      <c r="A32" t="s">
        <v>4</v>
      </c>
      <c r="B32">
        <f>R6</f>
        <v>20</v>
      </c>
      <c r="C32">
        <f>B32+(B32/100*20)</f>
        <v>24</v>
      </c>
      <c r="D32">
        <f>C32+(C32/100*60)</f>
        <v>38.4</v>
      </c>
      <c r="E32">
        <f>D32+(D32/100*60)</f>
        <v>61.44</v>
      </c>
      <c r="F32">
        <f>E32+(E32/100*60)</f>
        <v>98.304000000000002</v>
      </c>
      <c r="N32" s="2" t="s">
        <v>103</v>
      </c>
      <c r="O32" s="2" t="s">
        <v>114</v>
      </c>
      <c r="P32" s="2"/>
      <c r="Q32" s="2" t="s">
        <v>103</v>
      </c>
      <c r="R32" s="2" t="s">
        <v>115</v>
      </c>
      <c r="S32" s="2"/>
      <c r="T32" s="2" t="s">
        <v>103</v>
      </c>
      <c r="U32" s="2" t="s">
        <v>116</v>
      </c>
      <c r="V32" s="2"/>
      <c r="W32" s="2" t="s">
        <v>103</v>
      </c>
      <c r="X32" s="2" t="s">
        <v>117</v>
      </c>
      <c r="Y32" s="2"/>
      <c r="Z32" s="2" t="s">
        <v>103</v>
      </c>
      <c r="AA32" s="2" t="s">
        <v>118</v>
      </c>
    </row>
    <row r="33" spans="1:27" x14ac:dyDescent="0.3">
      <c r="N33" s="2">
        <f>B27</f>
        <v>20</v>
      </c>
      <c r="O33" s="27">
        <f>R2</f>
        <v>20.000000000000007</v>
      </c>
      <c r="P33" s="2"/>
      <c r="Q33" s="2">
        <f>N33</f>
        <v>20</v>
      </c>
      <c r="R33" s="2">
        <f ca="1">R3</f>
        <v>19.999999999999996</v>
      </c>
      <c r="S33" s="2"/>
      <c r="T33" s="2">
        <f>N33</f>
        <v>20</v>
      </c>
      <c r="U33" s="2">
        <f>R4</f>
        <v>20.28125</v>
      </c>
      <c r="V33" s="2"/>
      <c r="W33" s="2">
        <f>N33</f>
        <v>20</v>
      </c>
      <c r="X33" s="2">
        <f ca="1">R5</f>
        <v>20</v>
      </c>
      <c r="Y33" s="2"/>
      <c r="Z33" s="2">
        <f>N33</f>
        <v>20</v>
      </c>
      <c r="AA33">
        <f>R6</f>
        <v>20</v>
      </c>
    </row>
    <row r="34" spans="1:27" x14ac:dyDescent="0.3">
      <c r="N34" s="2">
        <f>N33+1</f>
        <v>21</v>
      </c>
      <c r="O34" s="2">
        <f>O33+(O33*0.0115)</f>
        <v>20.230000000000008</v>
      </c>
      <c r="P34" s="2"/>
      <c r="Q34" s="2">
        <f>Q33+1</f>
        <v>21</v>
      </c>
      <c r="R34" s="2">
        <f ca="1">R33+(R33*0.0123)</f>
        <v>20.245999999999995</v>
      </c>
      <c r="S34" s="2"/>
      <c r="T34" s="2">
        <f>T33+1</f>
        <v>21</v>
      </c>
      <c r="U34" s="2">
        <f>U33+(U33*0.0055)</f>
        <v>20.392796874999998</v>
      </c>
      <c r="V34" s="2"/>
      <c r="W34" s="2">
        <f>W33+1</f>
        <v>21</v>
      </c>
      <c r="X34" s="2">
        <f ca="1">X33+(X33*0.0099)</f>
        <v>20.198</v>
      </c>
      <c r="Y34" s="2"/>
      <c r="Z34" s="2">
        <f>Z33+1</f>
        <v>21</v>
      </c>
      <c r="AA34">
        <f>AA33+(AA33*0.02)</f>
        <v>20.399999999999999</v>
      </c>
    </row>
    <row r="35" spans="1:27" x14ac:dyDescent="0.3">
      <c r="N35" s="2">
        <f t="shared" ref="N35:N43" si="0">N34+1</f>
        <v>22</v>
      </c>
      <c r="O35" s="2">
        <f t="shared" ref="O35:O43" si="1">O34+(O34*0.0115)</f>
        <v>20.462645000000009</v>
      </c>
      <c r="P35" s="2"/>
      <c r="Q35" s="2">
        <f t="shared" ref="Q35:Q43" si="2">Q34+1</f>
        <v>22</v>
      </c>
      <c r="R35" s="2">
        <f t="shared" ref="R35:R43" ca="1" si="3">R34+(R34*0.0123)</f>
        <v>20.495025799999993</v>
      </c>
      <c r="S35" s="2"/>
      <c r="T35" s="2">
        <f t="shared" ref="T35:T43" si="4">T34+1</f>
        <v>22</v>
      </c>
      <c r="U35" s="2">
        <f t="shared" ref="U35:U43" si="5">U34+(U34*0.0055)</f>
        <v>20.504957257812499</v>
      </c>
      <c r="V35" s="2"/>
      <c r="W35" s="2">
        <f t="shared" ref="W35:W43" si="6">W34+1</f>
        <v>22</v>
      </c>
      <c r="X35" s="2">
        <f t="shared" ref="X35:X43" ca="1" si="7">X34+(X34*0.0099)</f>
        <v>20.3979602</v>
      </c>
      <c r="Y35" s="2"/>
      <c r="Z35" s="2">
        <f t="shared" ref="Z35:Z43" si="8">Z34+1</f>
        <v>22</v>
      </c>
      <c r="AA35">
        <f t="shared" ref="AA35:AA43" si="9">AA34+(AA34*0.02)</f>
        <v>20.808</v>
      </c>
    </row>
    <row r="36" spans="1:27" x14ac:dyDescent="0.3">
      <c r="A36" t="s">
        <v>8</v>
      </c>
      <c r="N36" s="2">
        <f t="shared" si="0"/>
        <v>23</v>
      </c>
      <c r="O36" s="2">
        <f t="shared" si="1"/>
        <v>20.697965417500008</v>
      </c>
      <c r="P36" s="2"/>
      <c r="Q36" s="2">
        <f t="shared" si="2"/>
        <v>23</v>
      </c>
      <c r="R36" s="2">
        <f t="shared" ca="1" si="3"/>
        <v>20.747114617339992</v>
      </c>
      <c r="S36" s="2"/>
      <c r="T36" s="2">
        <f t="shared" si="4"/>
        <v>23</v>
      </c>
      <c r="U36" s="2">
        <f t="shared" si="5"/>
        <v>20.617734522730469</v>
      </c>
      <c r="V36" s="2"/>
      <c r="W36" s="2">
        <f t="shared" si="6"/>
        <v>23</v>
      </c>
      <c r="X36" s="2">
        <f t="shared" ca="1" si="7"/>
        <v>20.59990000598</v>
      </c>
      <c r="Y36" s="2"/>
      <c r="Z36" s="2">
        <f t="shared" si="8"/>
        <v>23</v>
      </c>
      <c r="AA36">
        <f t="shared" si="9"/>
        <v>21.224160000000001</v>
      </c>
    </row>
    <row r="37" spans="1:27" x14ac:dyDescent="0.3">
      <c r="A37" s="1">
        <f ca="1">(B28/100*20)+(B29/100*20)+(B30/100*25)+(B31/100*20)+(B32/100*15)</f>
        <v>20.0703125</v>
      </c>
      <c r="N37" s="2">
        <f t="shared" si="0"/>
        <v>24</v>
      </c>
      <c r="O37" s="2">
        <f t="shared" si="1"/>
        <v>20.935992019801258</v>
      </c>
      <c r="P37" s="2"/>
      <c r="Q37" s="2">
        <f t="shared" si="2"/>
        <v>24</v>
      </c>
      <c r="R37" s="2">
        <f t="shared" ca="1" si="3"/>
        <v>21.002304127133275</v>
      </c>
      <c r="S37" s="2"/>
      <c r="T37" s="2">
        <f t="shared" si="4"/>
        <v>24</v>
      </c>
      <c r="U37" s="2">
        <f t="shared" si="5"/>
        <v>20.731132062605486</v>
      </c>
      <c r="V37" s="2"/>
      <c r="W37" s="2">
        <f t="shared" si="6"/>
        <v>24</v>
      </c>
      <c r="X37" s="2">
        <f t="shared" ca="1" si="7"/>
        <v>20.803839016039202</v>
      </c>
      <c r="Y37" s="2"/>
      <c r="Z37" s="2">
        <f t="shared" si="8"/>
        <v>24</v>
      </c>
      <c r="AA37">
        <f t="shared" si="9"/>
        <v>21.648643200000002</v>
      </c>
    </row>
    <row r="38" spans="1:27" x14ac:dyDescent="0.3">
      <c r="N38" s="2">
        <f t="shared" si="0"/>
        <v>25</v>
      </c>
      <c r="O38" s="2">
        <f t="shared" si="1"/>
        <v>21.176755928028971</v>
      </c>
      <c r="P38" s="2"/>
      <c r="Q38" s="2">
        <f t="shared" si="2"/>
        <v>25</v>
      </c>
      <c r="R38" s="2">
        <f t="shared" ca="1" si="3"/>
        <v>21.260632467897015</v>
      </c>
      <c r="S38" s="2"/>
      <c r="T38" s="2">
        <f t="shared" si="4"/>
        <v>25</v>
      </c>
      <c r="U38" s="2">
        <f t="shared" si="5"/>
        <v>20.845153288949817</v>
      </c>
      <c r="V38" s="2"/>
      <c r="W38" s="2">
        <f t="shared" si="6"/>
        <v>25</v>
      </c>
      <c r="X38" s="2">
        <f t="shared" ca="1" si="7"/>
        <v>21.009797022297992</v>
      </c>
      <c r="Y38" s="2"/>
      <c r="Z38" s="2">
        <f t="shared" si="8"/>
        <v>25</v>
      </c>
      <c r="AA38">
        <f t="shared" si="9"/>
        <v>22.081616064000002</v>
      </c>
    </row>
    <row r="39" spans="1:27" x14ac:dyDescent="0.3">
      <c r="N39" s="2">
        <f t="shared" si="0"/>
        <v>26</v>
      </c>
      <c r="O39" s="2">
        <f t="shared" si="1"/>
        <v>21.420288621201305</v>
      </c>
      <c r="P39" s="2"/>
      <c r="Q39" s="2">
        <f t="shared" si="2"/>
        <v>26</v>
      </c>
      <c r="R39" s="2">
        <f t="shared" ca="1" si="3"/>
        <v>21.522138247252148</v>
      </c>
      <c r="S39" s="2"/>
      <c r="T39" s="2">
        <f t="shared" si="4"/>
        <v>26</v>
      </c>
      <c r="U39" s="2">
        <f t="shared" si="5"/>
        <v>20.959801632039042</v>
      </c>
      <c r="V39" s="2"/>
      <c r="W39" s="2">
        <f t="shared" si="6"/>
        <v>26</v>
      </c>
      <c r="X39" s="2">
        <f t="shared" ca="1" si="7"/>
        <v>21.217794012818743</v>
      </c>
      <c r="Y39" s="2"/>
      <c r="Z39" s="2">
        <f t="shared" si="8"/>
        <v>26</v>
      </c>
      <c r="AA39">
        <f t="shared" si="9"/>
        <v>22.523248385280002</v>
      </c>
    </row>
    <row r="40" spans="1:27" x14ac:dyDescent="0.3">
      <c r="N40" s="2">
        <f t="shared" si="0"/>
        <v>27</v>
      </c>
      <c r="O40" s="2">
        <f t="shared" si="1"/>
        <v>21.66662194034512</v>
      </c>
      <c r="P40" s="2"/>
      <c r="Q40" s="2">
        <f t="shared" si="2"/>
        <v>27</v>
      </c>
      <c r="R40" s="2">
        <f t="shared" ca="1" si="3"/>
        <v>21.786860547693347</v>
      </c>
      <c r="S40" s="2"/>
      <c r="T40" s="2">
        <f t="shared" si="4"/>
        <v>27</v>
      </c>
      <c r="U40" s="2">
        <f t="shared" si="5"/>
        <v>21.075080541015257</v>
      </c>
      <c r="V40" s="2"/>
      <c r="W40" s="2">
        <f t="shared" si="6"/>
        <v>27</v>
      </c>
      <c r="X40" s="2">
        <f t="shared" ca="1" si="7"/>
        <v>21.42785017354565</v>
      </c>
      <c r="Y40" s="2"/>
      <c r="Z40" s="2">
        <f t="shared" si="8"/>
        <v>27</v>
      </c>
      <c r="AA40">
        <f t="shared" si="9"/>
        <v>22.973713352985602</v>
      </c>
    </row>
    <row r="41" spans="1:27" x14ac:dyDescent="0.3">
      <c r="N41" s="2">
        <f t="shared" si="0"/>
        <v>28</v>
      </c>
      <c r="O41" s="2">
        <f t="shared" si="1"/>
        <v>21.915788092659088</v>
      </c>
      <c r="P41" s="2"/>
      <c r="Q41" s="2">
        <f t="shared" si="2"/>
        <v>28</v>
      </c>
      <c r="R41" s="2">
        <f t="shared" ca="1" si="3"/>
        <v>22.054838932429977</v>
      </c>
      <c r="S41" s="2"/>
      <c r="T41" s="2">
        <f t="shared" si="4"/>
        <v>28</v>
      </c>
      <c r="U41" s="2">
        <f t="shared" si="5"/>
        <v>21.190993483990841</v>
      </c>
      <c r="V41" s="2"/>
      <c r="W41" s="2">
        <f t="shared" si="6"/>
        <v>28</v>
      </c>
      <c r="X41" s="2">
        <f t="shared" ca="1" si="7"/>
        <v>21.639985890263752</v>
      </c>
      <c r="Y41" s="2"/>
      <c r="Z41" s="2">
        <f t="shared" si="8"/>
        <v>28</v>
      </c>
      <c r="AA41">
        <f t="shared" si="9"/>
        <v>23.433187620045313</v>
      </c>
    </row>
    <row r="42" spans="1:27" x14ac:dyDescent="0.3">
      <c r="B42" t="s">
        <v>12</v>
      </c>
      <c r="C42" t="s">
        <v>0</v>
      </c>
      <c r="D42" t="s">
        <v>12</v>
      </c>
      <c r="E42" t="s">
        <v>1</v>
      </c>
      <c r="F42" t="s">
        <v>12</v>
      </c>
      <c r="G42" t="s">
        <v>2</v>
      </c>
      <c r="H42" t="s">
        <v>12</v>
      </c>
      <c r="I42" t="s">
        <v>3</v>
      </c>
      <c r="J42" t="s">
        <v>12</v>
      </c>
      <c r="K42" t="s">
        <v>4</v>
      </c>
      <c r="N42" s="2">
        <f t="shared" si="0"/>
        <v>29</v>
      </c>
      <c r="O42" s="2">
        <f t="shared" si="1"/>
        <v>22.167819655724667</v>
      </c>
      <c r="P42" s="2"/>
      <c r="Q42" s="2">
        <f t="shared" si="2"/>
        <v>29</v>
      </c>
      <c r="R42" s="2">
        <f t="shared" ca="1" si="3"/>
        <v>22.326113451298866</v>
      </c>
      <c r="S42" s="2"/>
      <c r="T42" s="2">
        <f t="shared" si="4"/>
        <v>29</v>
      </c>
      <c r="U42" s="2">
        <f t="shared" si="5"/>
        <v>21.307543948152791</v>
      </c>
      <c r="V42" s="2"/>
      <c r="W42" s="2">
        <f t="shared" si="6"/>
        <v>29</v>
      </c>
      <c r="X42" s="2">
        <f t="shared" ca="1" si="7"/>
        <v>21.854221750577363</v>
      </c>
      <c r="Y42" s="2"/>
      <c r="Z42" s="2">
        <f t="shared" si="8"/>
        <v>29</v>
      </c>
      <c r="AA42">
        <f t="shared" si="9"/>
        <v>23.90185137244622</v>
      </c>
    </row>
    <row r="43" spans="1:27" x14ac:dyDescent="0.3">
      <c r="B43">
        <f>B27</f>
        <v>20</v>
      </c>
      <c r="C43">
        <f>B28</f>
        <v>20.000000000000007</v>
      </c>
      <c r="D43">
        <f>B43</f>
        <v>20</v>
      </c>
      <c r="E43">
        <f ca="1">B29</f>
        <v>19.999999999999996</v>
      </c>
      <c r="F43">
        <f>B27</f>
        <v>20</v>
      </c>
      <c r="G43">
        <f>B30</f>
        <v>20.28125</v>
      </c>
      <c r="H43">
        <f>B27</f>
        <v>20</v>
      </c>
      <c r="I43">
        <f ca="1">B31</f>
        <v>20</v>
      </c>
      <c r="J43">
        <f>B27</f>
        <v>20</v>
      </c>
      <c r="K43">
        <f>B32</f>
        <v>20</v>
      </c>
      <c r="N43" s="2">
        <f t="shared" si="0"/>
        <v>30</v>
      </c>
      <c r="O43" s="2">
        <f t="shared" si="1"/>
        <v>22.422749581765501</v>
      </c>
      <c r="P43" s="2"/>
      <c r="Q43" s="2">
        <f t="shared" si="2"/>
        <v>30</v>
      </c>
      <c r="R43" s="2">
        <f t="shared" ca="1" si="3"/>
        <v>22.600724646749843</v>
      </c>
      <c r="S43" s="2"/>
      <c r="T43" s="2">
        <f t="shared" si="4"/>
        <v>30</v>
      </c>
      <c r="U43" s="2">
        <f t="shared" si="5"/>
        <v>21.424735439867632</v>
      </c>
      <c r="V43" s="2"/>
      <c r="W43" s="2">
        <f t="shared" si="6"/>
        <v>30</v>
      </c>
      <c r="X43" s="2">
        <f t="shared" ca="1" si="7"/>
        <v>22.070578545908077</v>
      </c>
      <c r="Y43" s="2"/>
      <c r="Z43" s="2">
        <f t="shared" si="8"/>
        <v>30</v>
      </c>
      <c r="AA43">
        <f t="shared" si="9"/>
        <v>24.379888399895144</v>
      </c>
    </row>
    <row r="44" spans="1:27" x14ac:dyDescent="0.3">
      <c r="B44">
        <f>C27</f>
        <v>30</v>
      </c>
      <c r="C44">
        <f>C28</f>
        <v>22.300000000000008</v>
      </c>
      <c r="D44">
        <f>B44</f>
        <v>30</v>
      </c>
      <c r="E44">
        <f ca="1">C29</f>
        <v>22.459999999999997</v>
      </c>
      <c r="F44">
        <f>C27</f>
        <v>30</v>
      </c>
      <c r="G44">
        <f>C30</f>
        <v>21.396718750000002</v>
      </c>
      <c r="H44">
        <f>C27</f>
        <v>30</v>
      </c>
      <c r="I44">
        <f ca="1">C31</f>
        <v>21.98</v>
      </c>
      <c r="J44">
        <f>C27</f>
        <v>30</v>
      </c>
      <c r="K44">
        <f>C32</f>
        <v>24</v>
      </c>
    </row>
    <row r="45" spans="1:27" x14ac:dyDescent="0.3">
      <c r="B45">
        <f>D27</f>
        <v>40</v>
      </c>
      <c r="C45">
        <f>D28</f>
        <v>29.48060000000001</v>
      </c>
      <c r="D45">
        <f>D27</f>
        <v>40</v>
      </c>
      <c r="E45">
        <f ca="1">D29</f>
        <v>29.377679999999998</v>
      </c>
      <c r="F45">
        <f>D27</f>
        <v>40</v>
      </c>
      <c r="G45">
        <f>D30</f>
        <v>23.750357812500003</v>
      </c>
      <c r="H45">
        <f>D27</f>
        <v>40</v>
      </c>
      <c r="I45">
        <f ca="1">D31</f>
        <v>26.332039999999999</v>
      </c>
      <c r="J45">
        <f>D27</f>
        <v>40</v>
      </c>
      <c r="K45">
        <f>D32</f>
        <v>38.4</v>
      </c>
    </row>
    <row r="46" spans="1:27" x14ac:dyDescent="0.3">
      <c r="B46">
        <f>E27</f>
        <v>50</v>
      </c>
      <c r="C46">
        <f>E28</f>
        <v>38.973353200000012</v>
      </c>
      <c r="D46">
        <f>E27</f>
        <v>50</v>
      </c>
      <c r="E46">
        <f ca="1">E29</f>
        <v>38.426005439999997</v>
      </c>
      <c r="F46">
        <f>E27</f>
        <v>50</v>
      </c>
      <c r="G46">
        <f>E30</f>
        <v>26.362897171875002</v>
      </c>
      <c r="H46">
        <f>E27</f>
        <v>50</v>
      </c>
      <c r="I46">
        <f ca="1">E31</f>
        <v>31.545783919999998</v>
      </c>
      <c r="J46">
        <f>E27</f>
        <v>50</v>
      </c>
      <c r="K46">
        <f>E32</f>
        <v>61.44</v>
      </c>
    </row>
    <row r="47" spans="1:27" x14ac:dyDescent="0.3">
      <c r="B47">
        <f>F27</f>
        <v>60</v>
      </c>
      <c r="C47">
        <f>F28</f>
        <v>51.522772930400016</v>
      </c>
      <c r="D47">
        <f>F27</f>
        <v>60</v>
      </c>
      <c r="E47">
        <f ca="1">F29</f>
        <v>50.261215115519995</v>
      </c>
      <c r="F47">
        <f>F27</f>
        <v>60</v>
      </c>
      <c r="G47">
        <f ca="1">F31</f>
        <v>37.791849136159996</v>
      </c>
      <c r="H47">
        <f>F27</f>
        <v>60</v>
      </c>
      <c r="I47">
        <f ca="1">F31</f>
        <v>37.791849136159996</v>
      </c>
      <c r="J47">
        <f>F27</f>
        <v>60</v>
      </c>
      <c r="K47">
        <f>F32</f>
        <v>98.304000000000002</v>
      </c>
    </row>
  </sheetData>
  <mergeCells count="2">
    <mergeCell ref="A23:F23"/>
    <mergeCell ref="N31:AA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6378-2950-4006-B835-3464C87E90DD}">
  <dimension ref="A1:AA47"/>
  <sheetViews>
    <sheetView zoomScale="81" zoomScaleNormal="81" workbookViewId="0">
      <selection activeCell="C19" sqref="C19"/>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 min="21" max="21" width="11.88671875" bestFit="1" customWidth="1"/>
  </cols>
  <sheetData>
    <row r="1" spans="1:15" ht="28.8" x14ac:dyDescent="0.3">
      <c r="A1" s="8" t="s">
        <v>91</v>
      </c>
      <c r="B1" s="8" t="s">
        <v>92</v>
      </c>
      <c r="D1" s="2" t="s">
        <v>14</v>
      </c>
      <c r="E1" s="2"/>
      <c r="F1" s="2" t="s">
        <v>38</v>
      </c>
      <c r="G1" s="2" t="s">
        <v>39</v>
      </c>
      <c r="H1" s="2" t="s">
        <v>40</v>
      </c>
      <c r="I1" s="2" t="s">
        <v>41</v>
      </c>
      <c r="J1" s="2"/>
      <c r="K1" s="2"/>
      <c r="L1" s="2"/>
      <c r="M1" s="2" t="s">
        <v>42</v>
      </c>
      <c r="N1" s="2"/>
      <c r="O1" s="2"/>
    </row>
    <row r="2" spans="1:15" ht="28.8" x14ac:dyDescent="0.3">
      <c r="A2" s="8" t="s">
        <v>12</v>
      </c>
      <c r="B2" s="8">
        <v>30</v>
      </c>
      <c r="D2" s="9" t="s">
        <v>15</v>
      </c>
      <c r="E2" s="9">
        <v>42</v>
      </c>
      <c r="F2" s="2">
        <f>E2+(E2/100*10)</f>
        <v>46.2</v>
      </c>
      <c r="G2" s="2">
        <f>F2+(F2/100*10)</f>
        <v>50.82</v>
      </c>
      <c r="H2" s="2">
        <f>G2+(G2/100*10)</f>
        <v>55.902000000000001</v>
      </c>
      <c r="I2" s="2">
        <f>H2+(H2/100*15)</f>
        <v>64.287300000000002</v>
      </c>
      <c r="J2" s="9"/>
      <c r="K2" s="2"/>
      <c r="L2" s="9" t="s">
        <v>0</v>
      </c>
      <c r="M2" s="28">
        <f>B27+ ((1 -((E2 / 43.4) * 0.7 )-((E3/ 100) * 0.3 )) * 100)</f>
        <v>32.858064516129041</v>
      </c>
      <c r="N2" s="2"/>
      <c r="O2" s="2"/>
    </row>
    <row r="3" spans="1:15" ht="100.8" x14ac:dyDescent="0.3">
      <c r="A3" s="8" t="s">
        <v>93</v>
      </c>
      <c r="B3" s="2" t="s">
        <v>94</v>
      </c>
      <c r="D3" s="9" t="s">
        <v>16</v>
      </c>
      <c r="E3" s="9">
        <v>98</v>
      </c>
      <c r="F3" s="2">
        <f>E3-(E3/100*10)</f>
        <v>88.2</v>
      </c>
      <c r="G3" s="2">
        <f>F3-(F3/100*10)</f>
        <v>79.38</v>
      </c>
      <c r="H3" s="2">
        <f>G3-(G3/100*15)</f>
        <v>67.472999999999999</v>
      </c>
      <c r="I3" s="2">
        <f>H3-(H3/100*15)</f>
        <v>57.352049999999998</v>
      </c>
      <c r="J3" s="9"/>
      <c r="K3" s="2"/>
      <c r="L3" s="10" t="s">
        <v>1</v>
      </c>
      <c r="M3" s="10">
        <f ca="1">((J4/100*50)+(J5/100*25)+(J6/100*25))</f>
        <v>37</v>
      </c>
      <c r="N3" s="2"/>
      <c r="O3" s="25" t="s">
        <v>8</v>
      </c>
    </row>
    <row r="4" spans="1:15" ht="18" customHeight="1" x14ac:dyDescent="0.3">
      <c r="D4" s="10" t="s">
        <v>18</v>
      </c>
      <c r="E4" s="10">
        <v>51</v>
      </c>
      <c r="F4" s="2">
        <f>E4-(E4/100*10)</f>
        <v>45.9</v>
      </c>
      <c r="G4" s="2">
        <f>F4-(F4/100*10)</f>
        <v>41.31</v>
      </c>
      <c r="H4" s="2">
        <f>G4-(G4/100*6)-(G4/100*6)</f>
        <v>36.352800000000002</v>
      </c>
      <c r="I4" s="2">
        <f>H4-((H4/100)*15)</f>
        <v>30.899880000000003</v>
      </c>
      <c r="J4" s="10">
        <f ca="1">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f>
        <v>30</v>
      </c>
      <c r="K4" s="2"/>
      <c r="L4" s="11" t="s">
        <v>2</v>
      </c>
      <c r="M4" s="11">
        <f>B27 - 9*M11</f>
        <v>27.457669172932331</v>
      </c>
      <c r="N4" s="2"/>
      <c r="O4" s="25" t="e">
        <f ca="1">A37</f>
        <v>#N/A</v>
      </c>
    </row>
    <row r="5" spans="1:15" ht="28.8" x14ac:dyDescent="0.3">
      <c r="D5" s="10" t="s">
        <v>19</v>
      </c>
      <c r="E5" s="10">
        <v>3.1</v>
      </c>
      <c r="F5" s="2">
        <f>E5-(E5/100*12)</f>
        <v>2.7280000000000002</v>
      </c>
      <c r="G5" s="2">
        <f>F5-(F5/100*12)</f>
        <v>2.4006400000000001</v>
      </c>
      <c r="H5" s="2">
        <f>G5-(G5/100*1.2) - (G5/100* 13.5)</f>
        <v>2.0477459200000001</v>
      </c>
      <c r="I5" s="2">
        <f>H5+(H5/100*15)</f>
        <v>2.3549078080000001</v>
      </c>
      <c r="J5" s="10">
        <f ca="1">FORECAST(E5, OFFSET(Strength_Normative_Data!$O$3, MATCH(E5, Strength_Normative_Data!$P$3:$P$17, -1)-1, 0, 2), OFFSET(Strength_Normative_Data!$P$3, MATCH(E5, Strength_Normative_Data!$P$3:$P$17, -1)-1, 0, 2))</f>
        <v>50</v>
      </c>
      <c r="K5" s="2"/>
      <c r="L5" s="12" t="s">
        <v>29</v>
      </c>
      <c r="M5" s="12" t="e">
        <f ca="1">((J14/100*30)+(J15/100*25)+(J16/100*30)+(J17/100*15))</f>
        <v>#N/A</v>
      </c>
      <c r="N5" s="2"/>
      <c r="O5" s="2"/>
    </row>
    <row r="6" spans="1:15" x14ac:dyDescent="0.3">
      <c r="D6" s="10" t="s">
        <v>20</v>
      </c>
      <c r="E6" s="10">
        <v>45</v>
      </c>
      <c r="F6" s="2">
        <f>E6-(E6/100*12)</f>
        <v>39.6</v>
      </c>
      <c r="G6" s="2">
        <f>F6+(F6/100*12)</f>
        <v>44.352000000000004</v>
      </c>
      <c r="H6" s="2">
        <f>G6+(G6/100*1.2) + (G6/100* 13.5)</f>
        <v>50.871744000000007</v>
      </c>
      <c r="I6" s="2">
        <f>H6+(H6/100*15)</f>
        <v>58.502505600000006</v>
      </c>
      <c r="J6" s="10">
        <f ca="1">FORECAST(E6, OFFSET(Strength_Normative_Data!$J$3, MATCH(E6, Strength_Normative_Data!$K$3:$K$16, -1)-1, 0, 2), OFFSET(Strength_Normative_Data!$K$3, MATCH(E6, Strength_Normative_Data!$K$3:$K$16, -1)-1, 0, 2))</f>
        <v>38</v>
      </c>
      <c r="K6" s="2"/>
      <c r="L6" s="13" t="s">
        <v>4</v>
      </c>
      <c r="M6" s="13">
        <f>((J18/100*60)+(J19/100*40))</f>
        <v>20</v>
      </c>
      <c r="N6" s="2"/>
      <c r="O6" s="2"/>
    </row>
    <row r="7" spans="1:15" x14ac:dyDescent="0.3">
      <c r="D7" s="11" t="s">
        <v>22</v>
      </c>
      <c r="E7" s="11">
        <v>22</v>
      </c>
      <c r="F7" s="2">
        <f>E7+(E7/100*6)</f>
        <v>23.32</v>
      </c>
      <c r="G7" s="2">
        <f t="shared" ref="G7:I7" si="0">F7+(F7/100*6)</f>
        <v>24.719200000000001</v>
      </c>
      <c r="H7" s="2">
        <f t="shared" si="0"/>
        <v>26.202352000000001</v>
      </c>
      <c r="I7" s="2">
        <f t="shared" si="0"/>
        <v>27.774493120000002</v>
      </c>
      <c r="J7" s="11"/>
      <c r="K7" s="2"/>
      <c r="L7" s="2"/>
      <c r="M7" s="2"/>
      <c r="N7" s="2"/>
      <c r="O7" s="2"/>
    </row>
    <row r="8" spans="1:15" ht="28.8" x14ac:dyDescent="0.3">
      <c r="D8" s="11" t="s">
        <v>23</v>
      </c>
      <c r="E8" s="11">
        <v>0.51</v>
      </c>
      <c r="F8" s="2">
        <f>E8+(E8/100*4)</f>
        <v>0.53039999999999998</v>
      </c>
      <c r="G8" s="2">
        <f t="shared" ref="G8:I8" si="1">F8+(F8/100*4)</f>
        <v>0.551616</v>
      </c>
      <c r="H8" s="2">
        <f t="shared" si="1"/>
        <v>0.57368063999999996</v>
      </c>
      <c r="I8" s="2">
        <f t="shared" si="1"/>
        <v>0.59662786559999992</v>
      </c>
      <c r="J8" s="11">
        <f xml:space="preserve">
IF(E8&lt;=0.4,0,
IF(E8&lt;=0.5,20*(E8-0.4)/0.1,
IF(E8&lt;=0.6,20+40*(E8-0.5)/0.1,
60+40*(MIN(E8,0.75)-0.6)/0.15)))</f>
        <v>24.000000000000004</v>
      </c>
      <c r="K8" s="2"/>
      <c r="L8" s="2"/>
      <c r="M8" s="2"/>
      <c r="N8" s="2"/>
      <c r="O8" s="2"/>
    </row>
    <row r="9" spans="1:15" ht="28.8" x14ac:dyDescent="0.3">
      <c r="D9" s="11" t="s">
        <v>24</v>
      </c>
      <c r="E9" s="11">
        <v>5.4</v>
      </c>
      <c r="F9" s="2"/>
      <c r="G9" s="2"/>
      <c r="H9" s="2"/>
      <c r="I9" s="2"/>
      <c r="J9" s="11"/>
      <c r="K9" s="2"/>
      <c r="L9" s="2"/>
      <c r="M9" s="2"/>
      <c r="N9" s="2"/>
      <c r="O9" s="2"/>
    </row>
    <row r="10" spans="1:15" ht="28.8" x14ac:dyDescent="0.3">
      <c r="D10" s="11" t="s">
        <v>25</v>
      </c>
      <c r="E10" s="11">
        <v>5.5</v>
      </c>
      <c r="F10" s="2">
        <f>E10+(E10/100*5)</f>
        <v>5.7750000000000004</v>
      </c>
      <c r="G10" s="2">
        <f t="shared" ref="G10:I10" si="2">F10+(F10/100*5)</f>
        <v>6.0637500000000006</v>
      </c>
      <c r="H10" s="2">
        <f t="shared" si="2"/>
        <v>6.3669375000000006</v>
      </c>
      <c r="I10" s="2">
        <f t="shared" si="2"/>
        <v>6.6852843750000002</v>
      </c>
      <c r="J10" s="11">
        <f xml:space="preserve">
IF(E10&lt;5.7,10*(E10/5.7),
IF(E10&lt;6.5,10+40*(E10-5.7)/0.8,
50+50*(MIN(E10,9)-6.5)/2.5))</f>
        <v>9.6491228070175445</v>
      </c>
      <c r="K10" s="2"/>
      <c r="L10" s="2" t="s">
        <v>89</v>
      </c>
      <c r="M10" s="2" t="s">
        <v>90</v>
      </c>
      <c r="N10" s="2"/>
      <c r="O10" s="2"/>
    </row>
    <row r="11" spans="1:15" x14ac:dyDescent="0.3">
      <c r="D11" s="11" t="s">
        <v>26</v>
      </c>
      <c r="E11" s="11">
        <v>1.8</v>
      </c>
      <c r="F11" s="2">
        <f>E11+(E11/100*14)</f>
        <v>2.052</v>
      </c>
      <c r="G11" s="2">
        <f t="shared" ref="G11:I11" si="3">F11+(F11/100*14)</f>
        <v>2.33928</v>
      </c>
      <c r="H11" s="2">
        <f t="shared" si="3"/>
        <v>2.6667792000000001</v>
      </c>
      <c r="I11" s="2">
        <f t="shared" si="3"/>
        <v>3.040128288</v>
      </c>
      <c r="J11" s="11">
        <f xml:space="preserve">
IF(E11&lt;1.6,10*(E11/1.6),
IF(E11&lt;3,10+40*(E11-1.6)/1.4,
50+50*(MIN(E11,7)-3)/4))</f>
        <v>15.714285714285714</v>
      </c>
      <c r="K11" s="2"/>
      <c r="L11" s="2">
        <f>(0.3*K12)+(0.2*J8)+(0.15*J10)+(0.25*J11)+(0.1*J13)</f>
        <v>20.875939849624061</v>
      </c>
      <c r="M11" s="2">
        <f xml:space="preserve">
IF(L11&lt;=10,1.5-0.1*L11,
IF(L11&lt;=60,0.5-0.02*(L11-10),
-0.5-0.03*(L11-60)))</f>
        <v>0.28248120300751878</v>
      </c>
      <c r="N11" s="2"/>
      <c r="O11" s="2"/>
    </row>
    <row r="12" spans="1:15" x14ac:dyDescent="0.3">
      <c r="D12" s="11" t="s">
        <v>27</v>
      </c>
      <c r="E12" s="11">
        <v>0.95</v>
      </c>
      <c r="F12" s="2">
        <f>E12+(E12/100*6)</f>
        <v>1.0069999999999999</v>
      </c>
      <c r="G12" s="2">
        <f t="shared" ref="G12:I12" si="4">F12+(F12/100*6)</f>
        <v>1.0674199999999998</v>
      </c>
      <c r="H12" s="2">
        <f t="shared" si="4"/>
        <v>1.1314651999999998</v>
      </c>
      <c r="I12" s="2">
        <f t="shared" si="4"/>
        <v>1.1993531119999998</v>
      </c>
      <c r="J12" s="11">
        <f>E12*100</f>
        <v>95</v>
      </c>
      <c r="K12" s="11">
        <f xml:space="preserve">
IF(J12&lt;80,5*(J12/80),
IF(J12&lt;100,10+20*(J12-80)/20,
IF(J12&lt;130,30+25*(J12-100)/30,
IF(J12&lt;160,55+25*(J12-130)/30,
IF(J12&lt;200,80+20*(J12-160)/40,100)))))</f>
        <v>25</v>
      </c>
      <c r="L12" s="2"/>
      <c r="M12" s="2"/>
      <c r="N12" s="2"/>
      <c r="O12" s="2"/>
    </row>
    <row r="13" spans="1:15" x14ac:dyDescent="0.3">
      <c r="D13" s="11" t="s">
        <v>28</v>
      </c>
      <c r="E13" s="11">
        <v>2.1</v>
      </c>
      <c r="F13" s="2">
        <f>E13+(E13/100*18)</f>
        <v>2.4780000000000002</v>
      </c>
      <c r="G13" s="2">
        <f t="shared" ref="G13:I13" si="5">F13+(F13/100*18)</f>
        <v>2.9240400000000002</v>
      </c>
      <c r="H13" s="2">
        <f t="shared" si="5"/>
        <v>3.4503672000000005</v>
      </c>
      <c r="I13" s="2">
        <f t="shared" si="5"/>
        <v>4.0714332960000004</v>
      </c>
      <c r="J13" s="11">
        <f xml:space="preserve">
IF(E13&lt;1,10*(E13/1),
IF(E13&lt;3,10+40*(E13-1)/2,
50+50*(MIN(E13,10)-3)/7))</f>
        <v>32</v>
      </c>
      <c r="K13" s="2"/>
      <c r="L13" s="2"/>
      <c r="M13" s="2"/>
      <c r="N13" s="2"/>
      <c r="O13" s="2"/>
    </row>
    <row r="14" spans="1:15" x14ac:dyDescent="0.3">
      <c r="D14" s="12" t="s">
        <v>30</v>
      </c>
      <c r="E14" s="12">
        <v>1.4</v>
      </c>
      <c r="F14" s="2">
        <f>E14-(E14/100*6)</f>
        <v>1.3159999999999998</v>
      </c>
      <c r="G14" s="2">
        <f>F14+(F14/100*6)</f>
        <v>1.3949599999999998</v>
      </c>
      <c r="H14" s="2">
        <f>G14+(G14/100*7)</f>
        <v>1.4926071999999997</v>
      </c>
      <c r="I14" s="2">
        <f>H14+(H14/100*7)</f>
        <v>1.5970897039999996</v>
      </c>
      <c r="J14" s="12" t="e">
        <f ca="1">IFERROR(FORECAST(E14, OFFSET(Mobility_Normative_Data!$A$3, MATCH(E14, Mobility_Normative_Data!$B$3:$B$17, -1)-1, 0, 2), OFFSET(Mobility_Normative_Data!$B$3, MATCH(E14, Mobility_Normative_Data!$B$3:$B$17, -1)-1, 0, 2)), INDEX(Mobility_Normative_Data!$A$3:$A$17, MATCH(E14, Mobility_Normative_Data!$B$3:$B$17, -1)))</f>
        <v>#N/A</v>
      </c>
      <c r="K14" s="2"/>
      <c r="L14" s="2"/>
      <c r="M14" s="2"/>
      <c r="N14" s="2"/>
      <c r="O14" s="2"/>
    </row>
    <row r="15" spans="1:15" ht="28.8" x14ac:dyDescent="0.3">
      <c r="D15" s="12" t="s">
        <v>31</v>
      </c>
      <c r="E15" s="12">
        <v>6.5</v>
      </c>
      <c r="F15" s="2">
        <f>E15+(E15/100*10)</f>
        <v>7.15</v>
      </c>
      <c r="G15" s="2">
        <f>F15+(F15/100*10)</f>
        <v>7.8650000000000002</v>
      </c>
      <c r="H15" s="2">
        <f>G15+(G15/100*10)</f>
        <v>8.6515000000000004</v>
      </c>
      <c r="I15" s="2">
        <f>H15+(H15/100*10)</f>
        <v>9.5166500000000003</v>
      </c>
      <c r="J15" s="12">
        <f ca="1">FORECAST(E15, OFFSET(Mobility_Normative_Data!$E$3, MATCH(E15, Mobility_Normative_Data!$F$3:$F$18, 1)-1, 0, 2), OFFSET(Mobility_Normative_Data!$F$3, MATCH(E15, Mobility_Normative_Data!$F$3:$F$18, 1)-1, 0, 2))</f>
        <v>45</v>
      </c>
      <c r="K15" s="2"/>
      <c r="L15" s="2"/>
      <c r="M15" s="2"/>
      <c r="N15" s="2"/>
      <c r="O15" s="2"/>
    </row>
    <row r="16" spans="1:15" ht="28.8" x14ac:dyDescent="0.3">
      <c r="D16" s="12" t="s">
        <v>32</v>
      </c>
      <c r="E16" s="12">
        <v>45</v>
      </c>
      <c r="F16" s="2">
        <f>E16-(E16/100*20)</f>
        <v>36</v>
      </c>
      <c r="G16" s="2">
        <f>F16+(F16/100*20)</f>
        <v>43.2</v>
      </c>
      <c r="H16" s="2">
        <f t="shared" ref="H16:I16" si="6">G16+(G16/100*20)</f>
        <v>51.84</v>
      </c>
      <c r="I16" s="2">
        <f t="shared" si="6"/>
        <v>62.208000000000006</v>
      </c>
      <c r="J16" s="12">
        <f ca="1">FORECAST(E16, OFFSET(Mobility_Normative_Data!$I$3, MATCH(E16, Mobility_Normative_Data!$J$3:$J$17, -1)-1, 0, 2), OFFSET(Mobility_Normative_Data!$J$3, MATCH(E16, Mobility_Normative_Data!$J$3:$J$17, -1)-1, 0, 2))</f>
        <v>20</v>
      </c>
      <c r="K16" s="2"/>
      <c r="L16" s="2"/>
      <c r="M16" s="2"/>
      <c r="N16" s="2"/>
      <c r="O16" s="2"/>
    </row>
    <row r="17" spans="1:27" x14ac:dyDescent="0.3">
      <c r="D17" s="12" t="s">
        <v>33</v>
      </c>
      <c r="E17" s="12">
        <v>36</v>
      </c>
      <c r="F17" s="2">
        <f>E17-(E17/100*10)</f>
        <v>32.4</v>
      </c>
      <c r="G17" s="2">
        <f>F17+(F17/100*10)</f>
        <v>35.64</v>
      </c>
      <c r="H17" s="2">
        <f>G17+(G17/100*10)</f>
        <v>39.204000000000001</v>
      </c>
      <c r="I17" s="2">
        <f>H17+(H17/100*10)</f>
        <v>43.124400000000001</v>
      </c>
      <c r="J17" s="12">
        <f ca="1">FORECAST(E17, OFFSET(Mobility_Normative_Data!$M$3, MATCH(E17, Mobility_Normative_Data!$N$3:$N$17, -1)-1, 0, 2), OFFSET(Mobility_Normative_Data!$N$3, MATCH(E17, Mobility_Normative_Data!$N$3:$N$17, -1)-1, 0, 2))</f>
        <v>35</v>
      </c>
      <c r="K17" s="2"/>
      <c r="L17" s="2"/>
      <c r="M17" s="2"/>
      <c r="N17" s="2"/>
      <c r="O17" s="2"/>
    </row>
    <row r="18" spans="1:27" ht="28.8" x14ac:dyDescent="0.3">
      <c r="D18" s="13" t="s">
        <v>35</v>
      </c>
      <c r="E18" s="13">
        <v>0.5</v>
      </c>
      <c r="F18" s="2">
        <f>E18 +(-0.2)</f>
        <v>0.3</v>
      </c>
      <c r="G18" s="2">
        <f>F18 +(-0.2)</f>
        <v>9.9999999999999978E-2</v>
      </c>
      <c r="H18" s="2">
        <f>G18 +(-0.3)</f>
        <v>-0.2</v>
      </c>
      <c r="I18" s="2">
        <f>H18 +(-0.3)</f>
        <v>-0.5</v>
      </c>
      <c r="J18" s="13">
        <f>MAX(18,B27-(E18*25))</f>
        <v>18</v>
      </c>
      <c r="K18" s="2"/>
      <c r="L18" s="2"/>
      <c r="M18" s="2"/>
      <c r="N18" s="2"/>
      <c r="O18" s="2"/>
    </row>
    <row r="19" spans="1:27" ht="28.8" x14ac:dyDescent="0.3">
      <c r="D19" s="13" t="s">
        <v>36</v>
      </c>
      <c r="E19" s="13">
        <v>0.2</v>
      </c>
      <c r="F19" s="2">
        <f>E19+(-0.2)</f>
        <v>0</v>
      </c>
      <c r="G19" s="2">
        <f>F19 +(-0.2)</f>
        <v>-0.2</v>
      </c>
      <c r="H19" s="2">
        <f>G19 +(-0.3)</f>
        <v>-0.5</v>
      </c>
      <c r="I19" s="2">
        <f>H19 +(-0.3)</f>
        <v>-0.8</v>
      </c>
      <c r="J19" s="13">
        <f>MAX(18,B27-(E19*35))</f>
        <v>23</v>
      </c>
      <c r="K19" s="2"/>
      <c r="L19" s="2"/>
      <c r="M19" s="2"/>
      <c r="N19" s="2"/>
      <c r="O19" s="2"/>
    </row>
    <row r="23" spans="1:27" x14ac:dyDescent="0.3">
      <c r="A23" s="38" t="s">
        <v>37</v>
      </c>
      <c r="B23" s="38"/>
      <c r="C23" s="38"/>
      <c r="D23" s="38"/>
      <c r="E23" s="38"/>
      <c r="F23" s="38"/>
    </row>
    <row r="25" spans="1:27" x14ac:dyDescent="0.3">
      <c r="B25" t="s">
        <v>5</v>
      </c>
      <c r="C25" t="s">
        <v>6</v>
      </c>
      <c r="D25" t="s">
        <v>9</v>
      </c>
      <c r="E25" t="s">
        <v>10</v>
      </c>
      <c r="F25" t="s">
        <v>11</v>
      </c>
      <c r="N25" s="39" t="s">
        <v>104</v>
      </c>
      <c r="O25" s="39"/>
      <c r="P25" s="39"/>
      <c r="Q25" s="39"/>
      <c r="R25" s="39"/>
      <c r="S25" s="39"/>
      <c r="T25" s="39"/>
      <c r="U25" s="39"/>
      <c r="V25" s="39"/>
      <c r="W25" s="39"/>
      <c r="X25" s="39"/>
      <c r="Y25" s="39"/>
      <c r="Z25" s="39"/>
      <c r="AA25" s="39"/>
    </row>
    <row r="26" spans="1:27" ht="28.8" x14ac:dyDescent="0.3">
      <c r="A26" t="s">
        <v>43</v>
      </c>
      <c r="B26" t="s">
        <v>44</v>
      </c>
      <c r="N26" s="2" t="s">
        <v>103</v>
      </c>
      <c r="O26" s="2" t="s">
        <v>106</v>
      </c>
      <c r="P26" s="2"/>
      <c r="Q26" s="2" t="s">
        <v>103</v>
      </c>
      <c r="R26" s="2" t="s">
        <v>105</v>
      </c>
      <c r="S26" s="2"/>
      <c r="T26" s="2" t="s">
        <v>103</v>
      </c>
      <c r="U26" s="2" t="s">
        <v>107</v>
      </c>
      <c r="V26" s="2"/>
      <c r="W26" s="2" t="s">
        <v>103</v>
      </c>
      <c r="X26" s="2" t="s">
        <v>108</v>
      </c>
      <c r="Y26" s="2"/>
      <c r="Z26" s="2" t="s">
        <v>103</v>
      </c>
      <c r="AA26" s="2" t="s">
        <v>109</v>
      </c>
    </row>
    <row r="27" spans="1:27" x14ac:dyDescent="0.3">
      <c r="A27" t="s">
        <v>7</v>
      </c>
      <c r="B27">
        <f>B2</f>
        <v>30</v>
      </c>
      <c r="C27">
        <f>B27+10</f>
        <v>40</v>
      </c>
      <c r="D27">
        <f>C27+10</f>
        <v>50</v>
      </c>
      <c r="E27">
        <f>D27+10</f>
        <v>60</v>
      </c>
      <c r="F27">
        <f>E27+10</f>
        <v>70</v>
      </c>
      <c r="N27" s="2">
        <f>B27</f>
        <v>30</v>
      </c>
      <c r="O27" s="27">
        <f>M2</f>
        <v>32.858064516129041</v>
      </c>
      <c r="P27" s="2"/>
      <c r="Q27" s="2">
        <f>N27</f>
        <v>30</v>
      </c>
      <c r="R27" s="2">
        <f ca="1">M3</f>
        <v>37</v>
      </c>
      <c r="S27" s="2"/>
      <c r="T27" s="2">
        <f>N27</f>
        <v>30</v>
      </c>
      <c r="U27" s="2">
        <f>M4</f>
        <v>27.457669172932331</v>
      </c>
      <c r="V27" s="2"/>
      <c r="W27" s="2">
        <f>N27</f>
        <v>30</v>
      </c>
      <c r="X27" s="2" t="e">
        <f ca="1">M5</f>
        <v>#N/A</v>
      </c>
      <c r="Y27" s="2"/>
      <c r="Z27" s="2">
        <f>N27</f>
        <v>30</v>
      </c>
      <c r="AA27">
        <f>M6</f>
        <v>20</v>
      </c>
    </row>
    <row r="28" spans="1:27" x14ac:dyDescent="0.3">
      <c r="A28" t="s">
        <v>0</v>
      </c>
      <c r="B28" s="24">
        <f>M2</f>
        <v>32.858064516129041</v>
      </c>
      <c r="C28">
        <f>B28+(B28/100*11.5)</f>
        <v>36.636741935483883</v>
      </c>
      <c r="D28">
        <f>C28+(C28/100*32.2)</f>
        <v>48.433772838709693</v>
      </c>
      <c r="E28">
        <f>D28+(D28/100*32.2)</f>
        <v>64.029447692774212</v>
      </c>
      <c r="F28">
        <f>E28+(E28/100*32.2)</f>
        <v>84.64692984984751</v>
      </c>
      <c r="N28" s="2">
        <f>N27+1</f>
        <v>31</v>
      </c>
      <c r="O28" s="2">
        <f>O27+(O27*0.0115)</f>
        <v>33.235932258064523</v>
      </c>
      <c r="P28" s="2"/>
      <c r="Q28" s="2">
        <f>Q27+1</f>
        <v>31</v>
      </c>
      <c r="R28" s="2">
        <f ca="1">R27+(R27*0.0123)</f>
        <v>37.455100000000002</v>
      </c>
      <c r="S28" s="2"/>
      <c r="T28" s="2">
        <f>T27+1</f>
        <v>31</v>
      </c>
      <c r="U28" s="2">
        <f>U27+(U27*0.011)</f>
        <v>27.759703533834585</v>
      </c>
      <c r="V28" s="2"/>
      <c r="W28" s="2">
        <f>W27+1</f>
        <v>31</v>
      </c>
      <c r="X28" s="2" t="e">
        <f ca="1">X27+(X27*0.0099)</f>
        <v>#N/A</v>
      </c>
      <c r="Y28" s="2"/>
      <c r="Z28" s="2">
        <f>Z27+1</f>
        <v>31</v>
      </c>
      <c r="AA28">
        <f>AA27+(AA27*0.02)</f>
        <v>20.399999999999999</v>
      </c>
    </row>
    <row r="29" spans="1:27" x14ac:dyDescent="0.3">
      <c r="A29" t="s">
        <v>1</v>
      </c>
      <c r="B29">
        <f ca="1">M3</f>
        <v>37</v>
      </c>
      <c r="C29">
        <f ca="1">B29+(B29/100*12.3)</f>
        <v>41.551000000000002</v>
      </c>
      <c r="D29">
        <f ca="1">C29+(C29/100*30.8)</f>
        <v>54.348708000000002</v>
      </c>
      <c r="E29">
        <f ca="1">D29+(D29/100*30.8)</f>
        <v>71.088110064000006</v>
      </c>
      <c r="F29">
        <f ca="1">E29+(E29/100*30.8)</f>
        <v>92.983247963712017</v>
      </c>
      <c r="N29" s="2">
        <f t="shared" ref="N29:N37" si="7">N28+1</f>
        <v>32</v>
      </c>
      <c r="O29" s="2">
        <f t="shared" ref="O29:O37" si="8">O28+(O28*0.0115)</f>
        <v>33.618145479032265</v>
      </c>
      <c r="P29" s="2"/>
      <c r="Q29" s="2">
        <f t="shared" ref="Q29:Q37" si="9">Q28+1</f>
        <v>32</v>
      </c>
      <c r="R29" s="2">
        <f t="shared" ref="R29:R37" ca="1" si="10">R28+(R28*0.0123)</f>
        <v>37.915797730000001</v>
      </c>
      <c r="S29" s="2"/>
      <c r="T29" s="2">
        <f t="shared" ref="T29:T37" si="11">T28+1</f>
        <v>32</v>
      </c>
      <c r="U29" s="2">
        <f t="shared" ref="U29:U37" si="12">U28+(U28*0.011)</f>
        <v>28.065060272706766</v>
      </c>
      <c r="V29" s="2"/>
      <c r="W29" s="2">
        <f t="shared" ref="W29:W37" si="13">W28+1</f>
        <v>32</v>
      </c>
      <c r="X29" s="2" t="e">
        <f t="shared" ref="X29:X37" ca="1" si="14">X28+(X28*0.0099)</f>
        <v>#N/A</v>
      </c>
      <c r="Y29" s="2"/>
      <c r="Z29" s="2">
        <f t="shared" ref="Z29:Z37" si="15">Z28+1</f>
        <v>32</v>
      </c>
      <c r="AA29">
        <f t="shared" ref="AA29:AA37" si="16">AA28+(AA28*0.02)</f>
        <v>20.808</v>
      </c>
    </row>
    <row r="30" spans="1:27" x14ac:dyDescent="0.3">
      <c r="A30" t="s">
        <v>2</v>
      </c>
      <c r="B30">
        <f>M4</f>
        <v>27.457669172932331</v>
      </c>
      <c r="C30">
        <f>B30+(B30/100*5.5)</f>
        <v>28.967840977443608</v>
      </c>
      <c r="D30">
        <f>C30+(C30/100*11)</f>
        <v>32.154303484962405</v>
      </c>
      <c r="E30">
        <f>D30+(D30/100*11)</f>
        <v>35.691276868308272</v>
      </c>
      <c r="F30">
        <f>E30+(E30/100*11)</f>
        <v>39.617317323822178</v>
      </c>
      <c r="N30" s="2">
        <f t="shared" si="7"/>
        <v>33</v>
      </c>
      <c r="O30" s="2">
        <f t="shared" si="8"/>
        <v>34.004754152041137</v>
      </c>
      <c r="P30" s="2"/>
      <c r="Q30" s="2">
        <f t="shared" si="9"/>
        <v>33</v>
      </c>
      <c r="R30" s="2">
        <f t="shared" ca="1" si="10"/>
        <v>38.382162042079003</v>
      </c>
      <c r="S30" s="2"/>
      <c r="T30" s="2">
        <f t="shared" si="11"/>
        <v>33</v>
      </c>
      <c r="U30" s="2">
        <f t="shared" si="12"/>
        <v>28.37377593570654</v>
      </c>
      <c r="V30" s="2"/>
      <c r="W30" s="2">
        <f t="shared" si="13"/>
        <v>33</v>
      </c>
      <c r="X30" s="2" t="e">
        <f t="shared" ca="1" si="14"/>
        <v>#N/A</v>
      </c>
      <c r="Y30" s="2"/>
      <c r="Z30" s="2">
        <f t="shared" si="15"/>
        <v>33</v>
      </c>
      <c r="AA30">
        <f t="shared" si="16"/>
        <v>21.224160000000001</v>
      </c>
    </row>
    <row r="31" spans="1:27" x14ac:dyDescent="0.3">
      <c r="A31" t="s">
        <v>3</v>
      </c>
      <c r="B31" t="e">
        <f ca="1">M5</f>
        <v>#N/A</v>
      </c>
      <c r="C31" t="e">
        <f ca="1">B31+(B31/100*9.9)</f>
        <v>#N/A</v>
      </c>
      <c r="D31" t="e">
        <f ca="1">C31+(C31/100*19.8)</f>
        <v>#N/A</v>
      </c>
      <c r="E31" t="e">
        <f ca="1">D31+(D31/100*19.8)</f>
        <v>#N/A</v>
      </c>
      <c r="F31" t="e">
        <f ca="1">E31+(E31/100*19.8)</f>
        <v>#N/A</v>
      </c>
      <c r="N31" s="2">
        <f t="shared" si="7"/>
        <v>34</v>
      </c>
      <c r="O31" s="2">
        <f t="shared" si="8"/>
        <v>34.395808824789611</v>
      </c>
      <c r="P31" s="2"/>
      <c r="Q31" s="2">
        <f t="shared" si="9"/>
        <v>34</v>
      </c>
      <c r="R31" s="2">
        <f t="shared" ca="1" si="10"/>
        <v>38.854262635196577</v>
      </c>
      <c r="S31" s="2"/>
      <c r="T31" s="2">
        <f t="shared" si="11"/>
        <v>34</v>
      </c>
      <c r="U31" s="2">
        <f t="shared" si="12"/>
        <v>28.685887470999312</v>
      </c>
      <c r="V31" s="2"/>
      <c r="W31" s="2">
        <f t="shared" si="13"/>
        <v>34</v>
      </c>
      <c r="X31" s="2" t="e">
        <f t="shared" ca="1" si="14"/>
        <v>#N/A</v>
      </c>
      <c r="Y31" s="2"/>
      <c r="Z31" s="2">
        <f t="shared" si="15"/>
        <v>34</v>
      </c>
      <c r="AA31">
        <f t="shared" si="16"/>
        <v>21.648643200000002</v>
      </c>
    </row>
    <row r="32" spans="1:27" x14ac:dyDescent="0.3">
      <c r="A32" t="s">
        <v>4</v>
      </c>
      <c r="B32">
        <f>M6</f>
        <v>20</v>
      </c>
      <c r="C32">
        <f>B32+(B32/100*20)</f>
        <v>24</v>
      </c>
      <c r="D32">
        <f>C32+(C32/100*60)</f>
        <v>38.4</v>
      </c>
      <c r="E32">
        <f>D32+(D32/100*60)</f>
        <v>61.44</v>
      </c>
      <c r="F32">
        <f>E32+(E32/100*60)</f>
        <v>98.304000000000002</v>
      </c>
      <c r="N32" s="2">
        <f t="shared" si="7"/>
        <v>35</v>
      </c>
      <c r="O32" s="2">
        <f t="shared" si="8"/>
        <v>34.791360626274695</v>
      </c>
      <c r="P32" s="2"/>
      <c r="Q32" s="2">
        <f t="shared" si="9"/>
        <v>35</v>
      </c>
      <c r="R32" s="2">
        <f t="shared" ca="1" si="10"/>
        <v>39.332170065609496</v>
      </c>
      <c r="S32" s="2"/>
      <c r="T32" s="2">
        <f t="shared" si="11"/>
        <v>35</v>
      </c>
      <c r="U32" s="2">
        <f t="shared" si="12"/>
        <v>29.001432233180303</v>
      </c>
      <c r="V32" s="2"/>
      <c r="W32" s="2">
        <f t="shared" si="13"/>
        <v>35</v>
      </c>
      <c r="X32" s="2" t="e">
        <f t="shared" ca="1" si="14"/>
        <v>#N/A</v>
      </c>
      <c r="Y32" s="2"/>
      <c r="Z32" s="2">
        <f t="shared" si="15"/>
        <v>35</v>
      </c>
      <c r="AA32">
        <f t="shared" si="16"/>
        <v>22.081616064000002</v>
      </c>
    </row>
    <row r="33" spans="1:27" x14ac:dyDescent="0.3">
      <c r="N33" s="2">
        <f t="shared" si="7"/>
        <v>36</v>
      </c>
      <c r="O33" s="2">
        <f t="shared" si="8"/>
        <v>35.191461273476854</v>
      </c>
      <c r="P33" s="2"/>
      <c r="Q33" s="2">
        <f t="shared" si="9"/>
        <v>36</v>
      </c>
      <c r="R33" s="2">
        <f t="shared" ca="1" si="10"/>
        <v>39.815955757416496</v>
      </c>
      <c r="S33" s="2"/>
      <c r="T33" s="2">
        <f t="shared" si="11"/>
        <v>36</v>
      </c>
      <c r="U33" s="2">
        <f t="shared" si="12"/>
        <v>29.320447987745286</v>
      </c>
      <c r="V33" s="2"/>
      <c r="W33" s="2">
        <f t="shared" si="13"/>
        <v>36</v>
      </c>
      <c r="X33" s="2" t="e">
        <f t="shared" ca="1" si="14"/>
        <v>#N/A</v>
      </c>
      <c r="Y33" s="2"/>
      <c r="Z33" s="2">
        <f t="shared" si="15"/>
        <v>36</v>
      </c>
      <c r="AA33">
        <f t="shared" si="16"/>
        <v>22.523248385280002</v>
      </c>
    </row>
    <row r="34" spans="1:27" x14ac:dyDescent="0.3">
      <c r="N34" s="2">
        <f t="shared" si="7"/>
        <v>37</v>
      </c>
      <c r="O34" s="2">
        <f t="shared" si="8"/>
        <v>35.59616307812184</v>
      </c>
      <c r="P34" s="2"/>
      <c r="Q34" s="2">
        <f t="shared" si="9"/>
        <v>37</v>
      </c>
      <c r="R34" s="2">
        <f t="shared" ca="1" si="10"/>
        <v>40.305692013232722</v>
      </c>
      <c r="S34" s="2"/>
      <c r="T34" s="2">
        <f t="shared" si="11"/>
        <v>37</v>
      </c>
      <c r="U34" s="2">
        <f t="shared" si="12"/>
        <v>29.642972915610486</v>
      </c>
      <c r="V34" s="2"/>
      <c r="W34" s="2">
        <f t="shared" si="13"/>
        <v>37</v>
      </c>
      <c r="X34" s="2" t="e">
        <f t="shared" ca="1" si="14"/>
        <v>#N/A</v>
      </c>
      <c r="Y34" s="2"/>
      <c r="Z34" s="2">
        <f t="shared" si="15"/>
        <v>37</v>
      </c>
      <c r="AA34">
        <f t="shared" si="16"/>
        <v>22.973713352985602</v>
      </c>
    </row>
    <row r="35" spans="1:27" x14ac:dyDescent="0.3">
      <c r="N35" s="2">
        <f t="shared" si="7"/>
        <v>38</v>
      </c>
      <c r="O35" s="2">
        <f t="shared" si="8"/>
        <v>36.005518953520244</v>
      </c>
      <c r="P35" s="2"/>
      <c r="Q35" s="2">
        <f t="shared" si="9"/>
        <v>38</v>
      </c>
      <c r="R35" s="2">
        <f t="shared" ca="1" si="10"/>
        <v>40.801452024995484</v>
      </c>
      <c r="S35" s="2"/>
      <c r="T35" s="2">
        <f t="shared" si="11"/>
        <v>38</v>
      </c>
      <c r="U35" s="2">
        <f t="shared" si="12"/>
        <v>29.969045617682202</v>
      </c>
      <c r="V35" s="2"/>
      <c r="W35" s="2">
        <f t="shared" si="13"/>
        <v>38</v>
      </c>
      <c r="X35" s="2" t="e">
        <f t="shared" ca="1" si="14"/>
        <v>#N/A</v>
      </c>
      <c r="Y35" s="2"/>
      <c r="Z35" s="2">
        <f t="shared" si="15"/>
        <v>38</v>
      </c>
      <c r="AA35">
        <f t="shared" si="16"/>
        <v>23.433187620045313</v>
      </c>
    </row>
    <row r="36" spans="1:27" x14ac:dyDescent="0.3">
      <c r="A36" t="s">
        <v>8</v>
      </c>
      <c r="N36" s="2">
        <f t="shared" si="7"/>
        <v>39</v>
      </c>
      <c r="O36" s="2">
        <f t="shared" si="8"/>
        <v>36.419582421485728</v>
      </c>
      <c r="P36" s="2"/>
      <c r="Q36" s="2">
        <f t="shared" si="9"/>
        <v>39</v>
      </c>
      <c r="R36" s="2">
        <f t="shared" ca="1" si="10"/>
        <v>41.30330988490293</v>
      </c>
      <c r="S36" s="2"/>
      <c r="T36" s="2">
        <f t="shared" si="11"/>
        <v>39</v>
      </c>
      <c r="U36" s="2">
        <f t="shared" si="12"/>
        <v>30.298705119476708</v>
      </c>
      <c r="V36" s="2"/>
      <c r="W36" s="2">
        <f t="shared" si="13"/>
        <v>39</v>
      </c>
      <c r="X36" s="2" t="e">
        <f t="shared" ca="1" si="14"/>
        <v>#N/A</v>
      </c>
      <c r="Y36" s="2"/>
      <c r="Z36" s="2">
        <f t="shared" si="15"/>
        <v>39</v>
      </c>
      <c r="AA36">
        <f t="shared" si="16"/>
        <v>23.90185137244622</v>
      </c>
    </row>
    <row r="37" spans="1:27" x14ac:dyDescent="0.3">
      <c r="A37" s="1" t="e">
        <f ca="1">(B28/100*20)+(B29/100*20)+(B30/100*25)+(B31/100*20)+(B32/100*15)</f>
        <v>#N/A</v>
      </c>
      <c r="N37" s="2">
        <f t="shared" si="7"/>
        <v>40</v>
      </c>
      <c r="O37" s="2">
        <f t="shared" si="8"/>
        <v>36.838407619332813</v>
      </c>
      <c r="P37" s="2"/>
      <c r="Q37" s="2">
        <f t="shared" si="9"/>
        <v>40</v>
      </c>
      <c r="R37" s="2">
        <f t="shared" ca="1" si="10"/>
        <v>41.811340596487234</v>
      </c>
      <c r="S37" s="2"/>
      <c r="T37" s="2">
        <f t="shared" si="11"/>
        <v>40</v>
      </c>
      <c r="U37" s="2">
        <f t="shared" si="12"/>
        <v>30.631990875790951</v>
      </c>
      <c r="V37" s="2"/>
      <c r="W37" s="2">
        <f t="shared" si="13"/>
        <v>40</v>
      </c>
      <c r="X37" s="2" t="e">
        <f t="shared" ca="1" si="14"/>
        <v>#N/A</v>
      </c>
      <c r="Y37" s="2"/>
      <c r="Z37" s="2">
        <f t="shared" si="15"/>
        <v>40</v>
      </c>
      <c r="AA37">
        <f t="shared" si="16"/>
        <v>24.379888399895144</v>
      </c>
    </row>
    <row r="42" spans="1:27" x14ac:dyDescent="0.3">
      <c r="B42" t="s">
        <v>12</v>
      </c>
      <c r="C42" t="s">
        <v>0</v>
      </c>
      <c r="D42" t="s">
        <v>12</v>
      </c>
      <c r="E42" t="s">
        <v>1</v>
      </c>
      <c r="F42" t="s">
        <v>12</v>
      </c>
      <c r="G42" t="s">
        <v>2</v>
      </c>
      <c r="H42" t="s">
        <v>12</v>
      </c>
      <c r="I42" t="s">
        <v>3</v>
      </c>
      <c r="J42" t="s">
        <v>12</v>
      </c>
      <c r="K42" t="s">
        <v>4</v>
      </c>
    </row>
    <row r="43" spans="1:27" x14ac:dyDescent="0.3">
      <c r="B43">
        <f>B27</f>
        <v>30</v>
      </c>
      <c r="C43">
        <f>B28</f>
        <v>32.858064516129041</v>
      </c>
      <c r="D43">
        <f>B43</f>
        <v>30</v>
      </c>
      <c r="E43">
        <f ca="1">B29</f>
        <v>37</v>
      </c>
      <c r="F43">
        <f>B27</f>
        <v>30</v>
      </c>
      <c r="G43">
        <f>B30</f>
        <v>27.457669172932331</v>
      </c>
      <c r="H43">
        <f>B27</f>
        <v>30</v>
      </c>
      <c r="I43" t="e">
        <f ca="1">B31</f>
        <v>#N/A</v>
      </c>
      <c r="J43">
        <f>B27</f>
        <v>30</v>
      </c>
      <c r="K43">
        <f>B32</f>
        <v>20</v>
      </c>
    </row>
    <row r="44" spans="1:27" x14ac:dyDescent="0.3">
      <c r="B44">
        <f>C27</f>
        <v>40</v>
      </c>
      <c r="C44">
        <f>C28</f>
        <v>36.636741935483883</v>
      </c>
      <c r="D44">
        <f>B44</f>
        <v>40</v>
      </c>
      <c r="E44">
        <f ca="1">C29</f>
        <v>41.551000000000002</v>
      </c>
      <c r="F44">
        <f>C27</f>
        <v>40</v>
      </c>
      <c r="G44">
        <f>C30</f>
        <v>28.967840977443608</v>
      </c>
      <c r="H44">
        <f>C27</f>
        <v>40</v>
      </c>
      <c r="I44" t="e">
        <f ca="1">C31</f>
        <v>#N/A</v>
      </c>
      <c r="J44">
        <f>C27</f>
        <v>40</v>
      </c>
      <c r="K44">
        <f>C32</f>
        <v>24</v>
      </c>
    </row>
    <row r="45" spans="1:27" x14ac:dyDescent="0.3">
      <c r="B45">
        <f>D27</f>
        <v>50</v>
      </c>
      <c r="C45">
        <f>D28</f>
        <v>48.433772838709693</v>
      </c>
      <c r="D45">
        <f>D27</f>
        <v>50</v>
      </c>
      <c r="E45">
        <f ca="1">D29</f>
        <v>54.348708000000002</v>
      </c>
      <c r="F45">
        <f>D27</f>
        <v>50</v>
      </c>
      <c r="G45">
        <f>D30</f>
        <v>32.154303484962405</v>
      </c>
      <c r="H45">
        <f>D27</f>
        <v>50</v>
      </c>
      <c r="I45" t="e">
        <f ca="1">D31</f>
        <v>#N/A</v>
      </c>
      <c r="J45">
        <f>D27</f>
        <v>50</v>
      </c>
      <c r="K45">
        <f>D32</f>
        <v>38.4</v>
      </c>
    </row>
    <row r="46" spans="1:27" x14ac:dyDescent="0.3">
      <c r="B46">
        <f>E27</f>
        <v>60</v>
      </c>
      <c r="C46">
        <f>E28</f>
        <v>64.029447692774212</v>
      </c>
      <c r="D46">
        <f>E27</f>
        <v>60</v>
      </c>
      <c r="E46">
        <f ca="1">E29</f>
        <v>71.088110064000006</v>
      </c>
      <c r="F46">
        <f>E27</f>
        <v>60</v>
      </c>
      <c r="G46">
        <f>E30</f>
        <v>35.691276868308272</v>
      </c>
      <c r="H46">
        <f>E27</f>
        <v>60</v>
      </c>
      <c r="I46" t="e">
        <f ca="1">E31</f>
        <v>#N/A</v>
      </c>
      <c r="J46">
        <f>E27</f>
        <v>60</v>
      </c>
      <c r="K46">
        <f>E32</f>
        <v>61.44</v>
      </c>
    </row>
    <row r="47" spans="1:27" x14ac:dyDescent="0.3">
      <c r="B47">
        <f>F27</f>
        <v>70</v>
      </c>
      <c r="C47">
        <f>F28</f>
        <v>84.64692984984751</v>
      </c>
      <c r="D47">
        <f>F27</f>
        <v>70</v>
      </c>
      <c r="E47">
        <f ca="1">F29</f>
        <v>92.983247963712017</v>
      </c>
      <c r="F47">
        <f>F27</f>
        <v>70</v>
      </c>
      <c r="G47" t="e">
        <f ca="1">F31</f>
        <v>#N/A</v>
      </c>
      <c r="H47">
        <f>F27</f>
        <v>70</v>
      </c>
      <c r="I47" t="e">
        <f ca="1">F31</f>
        <v>#N/A</v>
      </c>
      <c r="J47">
        <f>F27</f>
        <v>70</v>
      </c>
      <c r="K47">
        <f>F32</f>
        <v>98.304000000000002</v>
      </c>
    </row>
  </sheetData>
  <mergeCells count="2">
    <mergeCell ref="A23:F23"/>
    <mergeCell ref="N25:AA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46A5C-16BF-4A77-888B-A1710C7D278A}">
  <dimension ref="A1:Z47"/>
  <sheetViews>
    <sheetView zoomScale="73" zoomScaleNormal="73" workbookViewId="0">
      <selection activeCell="G32" sqref="G32"/>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95</v>
      </c>
      <c r="D1" s="2" t="s">
        <v>14</v>
      </c>
      <c r="E1" s="2"/>
      <c r="F1" s="2" t="s">
        <v>38</v>
      </c>
      <c r="G1" s="2" t="s">
        <v>39</v>
      </c>
      <c r="H1" s="2" t="s">
        <v>40</v>
      </c>
      <c r="I1" s="2" t="s">
        <v>41</v>
      </c>
      <c r="J1" s="2"/>
      <c r="K1" s="2"/>
      <c r="L1" s="2"/>
      <c r="M1" s="2" t="s">
        <v>42</v>
      </c>
      <c r="N1" s="2"/>
      <c r="O1" s="2"/>
    </row>
    <row r="2" spans="1:15" ht="28.8" x14ac:dyDescent="0.3">
      <c r="A2" s="8" t="s">
        <v>12</v>
      </c>
      <c r="B2" s="8">
        <v>50</v>
      </c>
      <c r="D2" s="9" t="s">
        <v>15</v>
      </c>
      <c r="E2" s="9">
        <v>48</v>
      </c>
      <c r="F2" s="2">
        <f>E2+(E2/100*10)</f>
        <v>52.8</v>
      </c>
      <c r="G2" s="2">
        <f>F2+(F2/100*10)</f>
        <v>58.08</v>
      </c>
      <c r="H2" s="2">
        <f>G2+(G2/100*10)</f>
        <v>63.887999999999998</v>
      </c>
      <c r="I2" s="2">
        <f>H2+(H2/100*15)</f>
        <v>73.471199999999996</v>
      </c>
      <c r="J2" s="9"/>
      <c r="K2" s="2"/>
      <c r="L2" s="9" t="s">
        <v>0</v>
      </c>
      <c r="M2" s="28">
        <f>B27+ ((1 -((E2 / 26.6) * 0.7 )-((E3/ 100) * 0.3 )) * 100)</f>
        <v>-6.0157894736841939</v>
      </c>
      <c r="N2" s="2"/>
      <c r="O2" s="2"/>
    </row>
    <row r="3" spans="1:15" ht="86.4" x14ac:dyDescent="0.3">
      <c r="A3" s="8" t="s">
        <v>93</v>
      </c>
      <c r="B3" s="2" t="s">
        <v>96</v>
      </c>
      <c r="D3" s="9" t="s">
        <v>16</v>
      </c>
      <c r="E3" s="9">
        <v>99</v>
      </c>
      <c r="F3" s="2">
        <f>E3-(E3/100*10)</f>
        <v>89.1</v>
      </c>
      <c r="G3" s="2">
        <f>F3-(F3/100*10)</f>
        <v>80.19</v>
      </c>
      <c r="H3" s="2">
        <f>G3-(G3/100*15)</f>
        <v>68.161500000000004</v>
      </c>
      <c r="I3" s="2">
        <f>H3-(H3/100*15)</f>
        <v>57.937275</v>
      </c>
      <c r="J3" s="9"/>
      <c r="K3" s="2"/>
      <c r="L3" s="10" t="s">
        <v>1</v>
      </c>
      <c r="M3" s="10">
        <f ca="1">((J4/100*50)+(J5/100*25)+(J6/100*25))</f>
        <v>53.666666666666671</v>
      </c>
      <c r="N3" s="2"/>
      <c r="O3" s="25" t="s">
        <v>8</v>
      </c>
    </row>
    <row r="4" spans="1:15" ht="18" customHeight="1" x14ac:dyDescent="0.3">
      <c r="D4" s="10" t="s">
        <v>18</v>
      </c>
      <c r="E4" s="10">
        <v>28</v>
      </c>
      <c r="F4" s="2">
        <f>E4+(E4/100*10)</f>
        <v>30.8</v>
      </c>
      <c r="G4" s="2">
        <f>F4+(F4/100*10)</f>
        <v>33.880000000000003</v>
      </c>
      <c r="H4" s="2">
        <f>G4+(G4/100*6)+(G4/100*6)</f>
        <v>37.945600000000006</v>
      </c>
      <c r="I4" s="2">
        <f>H4+((H4/100)*15)</f>
        <v>43.637440000000005</v>
      </c>
      <c r="J4" s="10">
        <f ca="1">IF(B27&lt;30, FORECAST(E4, OFFSET(Strength_Normative_Data!$A$3, MATCH(E4, Strength_Normative_Data!$C$3:$C$5, 1)-1, 0, 2), OFFSET(Strength_Normative_Data!$C$3, MATCH(E4, Strength_Normative_Data!$C$3:$C$5, 1)-1, 0, 2)), FORECAST(E4, OFFSET(Strength_Normative_Data!$A$5, MATCH(E4, Strength_Normative_Data!$C$5:$C$16, -1)-1, 0, 2), OFFSET(Strength_Normative_Data!$C$5, MATCH(E4, Strength_Normative_Data!$C$5:$C$16, -1)-1, 0, 2)))</f>
        <v>50</v>
      </c>
      <c r="K4" s="2"/>
      <c r="L4" s="11" t="s">
        <v>2</v>
      </c>
      <c r="M4" s="11">
        <f>B27 - 9*M11</f>
        <v>40.962401315789471</v>
      </c>
      <c r="N4" s="2"/>
      <c r="O4" s="25">
        <f ca="1">A37</f>
        <v>31.979347196115292</v>
      </c>
    </row>
    <row r="5" spans="1:15" ht="28.8" x14ac:dyDescent="0.3">
      <c r="D5" s="10" t="s">
        <v>19</v>
      </c>
      <c r="E5" s="10">
        <v>2.2000000000000002</v>
      </c>
      <c r="F5" s="2">
        <f>E5+(E5/100*12)</f>
        <v>2.4640000000000004</v>
      </c>
      <c r="G5" s="2">
        <f>F5+(F5/100*12)</f>
        <v>2.7596800000000004</v>
      </c>
      <c r="H5" s="2">
        <f>G5+(G5/100*1.2) + (G5/100* 13.5)</f>
        <v>3.1653529600000003</v>
      </c>
      <c r="I5" s="2">
        <f>H5+(H5/100*15)</f>
        <v>3.6401559040000002</v>
      </c>
      <c r="J5" s="10">
        <f ca="1">FORECAST(E5, OFFSET(Strength_Normative_Data!$O$3, MATCH(E5, Strength_Normative_Data!$Q$3:$Q$17, -1)-1, 0, 2), OFFSET(Strength_Normative_Data!$Q$3, MATCH(E5, Strength_Normative_Data!$Q$3:$Q$17, -1)-1, 0, 2))</f>
        <v>56.666666666666671</v>
      </c>
      <c r="K5" s="2"/>
      <c r="L5" s="12" t="s">
        <v>29</v>
      </c>
      <c r="M5" s="12">
        <f ca="1">((J14/100*30)+(J15/100*25)+(J16/100*30)+(J17/100*15))</f>
        <v>44.392857142857146</v>
      </c>
      <c r="N5" s="2"/>
      <c r="O5" s="2"/>
    </row>
    <row r="6" spans="1:15" x14ac:dyDescent="0.3">
      <c r="D6" s="10" t="s">
        <v>20</v>
      </c>
      <c r="E6" s="10">
        <v>20</v>
      </c>
      <c r="F6" s="2">
        <f>E6+(E6/100*12)</f>
        <v>22.4</v>
      </c>
      <c r="G6" s="2">
        <f>F6+(F6/100*12)</f>
        <v>25.087999999999997</v>
      </c>
      <c r="H6" s="2">
        <f>G6+(G6/100*1.2) + (G6/100* 13.5)</f>
        <v>28.775935999999994</v>
      </c>
      <c r="I6" s="2">
        <f>H6+(H6/100*15)</f>
        <v>33.09232639999999</v>
      </c>
      <c r="J6" s="10">
        <f ca="1">FORECAST(E6, OFFSET(Strength_Normative_Data!$J$3, MATCH(E6, Strength_Normative_Data!$L$3:$L$16, -1)-1, 0, 2), OFFSET(Strength_Normative_Data!$L$3, MATCH(E6, Strength_Normative_Data!$L$3:$L$16, -1)-1, 0, 2))</f>
        <v>58</v>
      </c>
      <c r="K6" s="2"/>
      <c r="L6" s="13" t="s">
        <v>4</v>
      </c>
      <c r="M6" s="13">
        <f>((J18/100*60)+(J19/100*40))</f>
        <v>22.2</v>
      </c>
      <c r="N6" s="2"/>
      <c r="O6" s="2"/>
    </row>
    <row r="7" spans="1:15" x14ac:dyDescent="0.3">
      <c r="D7" s="11" t="s">
        <v>22</v>
      </c>
      <c r="E7" s="11">
        <v>19</v>
      </c>
      <c r="F7" s="2">
        <f>E7+(E7/100*6)</f>
        <v>20.14</v>
      </c>
      <c r="G7" s="2">
        <f t="shared" ref="G7:I7" si="0">F7+(F7/100*6)</f>
        <v>21.348400000000002</v>
      </c>
      <c r="H7" s="2">
        <f t="shared" si="0"/>
        <v>22.629304000000001</v>
      </c>
      <c r="I7" s="2">
        <f t="shared" si="0"/>
        <v>23.98706224</v>
      </c>
      <c r="J7" s="11"/>
      <c r="K7" s="2"/>
      <c r="L7" s="2"/>
      <c r="M7" s="2"/>
      <c r="N7" s="2"/>
      <c r="O7" s="2"/>
    </row>
    <row r="8" spans="1:15" ht="28.8" x14ac:dyDescent="0.3">
      <c r="D8" s="11" t="s">
        <v>23</v>
      </c>
      <c r="E8" s="11">
        <v>0.42</v>
      </c>
      <c r="F8" s="2">
        <f>E8+(E8/100*4)</f>
        <v>0.43679999999999997</v>
      </c>
      <c r="G8" s="2">
        <f t="shared" ref="G8:I8" si="1">F8+(F8/100*4)</f>
        <v>0.45427199999999995</v>
      </c>
      <c r="H8" s="2">
        <f t="shared" si="1"/>
        <v>0.47244287999999995</v>
      </c>
      <c r="I8" s="2">
        <f t="shared" si="1"/>
        <v>0.49134059519999995</v>
      </c>
      <c r="J8" s="11">
        <f xml:space="preserve">
IF(E8&lt;=0.4,0,
IF(E8&lt;=0.5,20*(E8-0.4)/0.1,
IF(E8&lt;=0.6,20+40*(E8-0.5)/0.1,
60+40*(MIN(E8,0.75)-0.6)/0.15)))</f>
        <v>3.999999999999992</v>
      </c>
      <c r="K8" s="2"/>
      <c r="L8" s="2"/>
      <c r="M8" s="2"/>
      <c r="N8" s="2"/>
      <c r="O8" s="2"/>
    </row>
    <row r="9" spans="1:15" ht="28.8" x14ac:dyDescent="0.3">
      <c r="D9" s="11" t="s">
        <v>24</v>
      </c>
      <c r="E9" s="11">
        <v>4.5999999999999996</v>
      </c>
      <c r="F9" s="2"/>
      <c r="G9" s="2"/>
      <c r="H9" s="2"/>
      <c r="I9" s="2"/>
      <c r="J9" s="11"/>
      <c r="K9" s="2"/>
      <c r="L9" s="2"/>
      <c r="M9" s="2"/>
      <c r="N9" s="2"/>
      <c r="O9" s="2"/>
    </row>
    <row r="10" spans="1:15" ht="28.8" x14ac:dyDescent="0.3">
      <c r="D10" s="11" t="s">
        <v>25</v>
      </c>
      <c r="E10" s="11">
        <v>4.9000000000000004</v>
      </c>
      <c r="F10" s="2">
        <f>E10+(E10/100*5)</f>
        <v>5.1450000000000005</v>
      </c>
      <c r="G10" s="2">
        <f t="shared" ref="G10:I10" si="2">F10+(F10/100*5)</f>
        <v>5.4022500000000004</v>
      </c>
      <c r="H10" s="2">
        <f t="shared" si="2"/>
        <v>5.6723625000000002</v>
      </c>
      <c r="I10" s="2">
        <f t="shared" si="2"/>
        <v>5.9559806250000005</v>
      </c>
      <c r="J10" s="11">
        <f xml:space="preserve">
IF(E10&lt;5.7,10*(E10/5.7),
IF(E10&lt;6.5,10+40*(E10-5.7)/0.8,
50+50*(MIN(E10,9)-6.5)/2.5))</f>
        <v>8.5964912280701746</v>
      </c>
      <c r="K10" s="2"/>
      <c r="L10" s="2" t="s">
        <v>89</v>
      </c>
      <c r="M10" s="2" t="s">
        <v>90</v>
      </c>
      <c r="N10" s="2"/>
      <c r="O10" s="2"/>
    </row>
    <row r="11" spans="1:15" x14ac:dyDescent="0.3">
      <c r="D11" s="11" t="s">
        <v>26</v>
      </c>
      <c r="E11" s="11">
        <v>0.8</v>
      </c>
      <c r="F11" s="2">
        <f>E11+(E11/100*14)</f>
        <v>0.91200000000000003</v>
      </c>
      <c r="G11" s="2">
        <f t="shared" ref="G11:I11" si="3">F11+(F11/100*14)</f>
        <v>1.0396799999999999</v>
      </c>
      <c r="H11" s="2">
        <f t="shared" si="3"/>
        <v>1.1852351999999999</v>
      </c>
      <c r="I11" s="2">
        <f t="shared" si="3"/>
        <v>1.3511681279999999</v>
      </c>
      <c r="J11" s="11">
        <f xml:space="preserve">
IF(E11&lt;1.6,10*(E11/1.6),
IF(E11&lt;3,10+40*(E11-1.6)/1.4,
50+50*(MIN(E11,7)-3)/4))</f>
        <v>5</v>
      </c>
      <c r="K11" s="2"/>
      <c r="L11" s="2">
        <f>(0.3*K12)+(0.2*J8)+(0.15*J10)+(0.25*J11)+(0.1*J13)</f>
        <v>4.958223684210525</v>
      </c>
      <c r="M11" s="2">
        <f xml:space="preserve">
IF(L11&lt;=10,1.5-0.1*L11,
IF(L11&lt;=60,0.5-0.02*(L11-10),
-0.5-0.03*(L11-60)))</f>
        <v>1.0041776315789475</v>
      </c>
      <c r="N11" s="2"/>
      <c r="O11" s="2"/>
    </row>
    <row r="12" spans="1:15" x14ac:dyDescent="0.3">
      <c r="D12" s="11" t="s">
        <v>27</v>
      </c>
      <c r="E12" s="11">
        <v>0.65</v>
      </c>
      <c r="F12" s="2">
        <f>E12+(E12/100*6)</f>
        <v>0.68900000000000006</v>
      </c>
      <c r="G12" s="2">
        <f t="shared" ref="G12:I12" si="4">F12+(F12/100*6)</f>
        <v>0.7303400000000001</v>
      </c>
      <c r="H12" s="2">
        <f t="shared" si="4"/>
        <v>0.77416040000000008</v>
      </c>
      <c r="I12" s="2">
        <f t="shared" si="4"/>
        <v>0.82061002400000005</v>
      </c>
      <c r="J12" s="11">
        <f>E12*100</f>
        <v>65</v>
      </c>
      <c r="K12" s="11">
        <f xml:space="preserve">
IF(J12&lt;80,5*(J12/80),
IF(J12&lt;100,10+20*(J12-80)/20,
IF(J12&lt;130,30+25*(J12-100)/30,
IF(J12&lt;160,55+25*(J12-130)/30,
IF(J12&lt;200,80+20*(J12-160)/40,100)))))</f>
        <v>4.0625</v>
      </c>
      <c r="L12" s="2"/>
      <c r="M12" s="2"/>
      <c r="N12" s="2"/>
      <c r="O12" s="2"/>
    </row>
    <row r="13" spans="1:15" x14ac:dyDescent="0.3">
      <c r="D13" s="11" t="s">
        <v>28</v>
      </c>
      <c r="E13" s="11">
        <v>0.4</v>
      </c>
      <c r="F13" s="2">
        <f>E13+(E13/100*18)</f>
        <v>0.47200000000000003</v>
      </c>
      <c r="G13" s="2">
        <f t="shared" ref="G13:I13" si="5">F13+(F13/100*18)</f>
        <v>0.55696000000000001</v>
      </c>
      <c r="H13" s="2">
        <f t="shared" si="5"/>
        <v>0.65721280000000004</v>
      </c>
      <c r="I13" s="2">
        <f t="shared" si="5"/>
        <v>0.77551110400000001</v>
      </c>
      <c r="J13" s="11">
        <f xml:space="preserve">
IF(E13&lt;1,10*(E13/1),
IF(E13&lt;3,10+40*(E13-1)/2,
50+50*(MIN(E13,10)-3)/7))</f>
        <v>4</v>
      </c>
      <c r="K13" s="2"/>
      <c r="L13" s="2"/>
      <c r="M13" s="2"/>
      <c r="N13" s="2"/>
      <c r="O13" s="2"/>
    </row>
    <row r="14" spans="1:15" x14ac:dyDescent="0.3">
      <c r="D14" s="12" t="s">
        <v>30</v>
      </c>
      <c r="E14" s="12">
        <v>1.3</v>
      </c>
      <c r="F14" s="2">
        <f>E14-(E14/100*6)</f>
        <v>1.222</v>
      </c>
      <c r="G14" s="2">
        <f>F14+(F14/100*6)</f>
        <v>1.29532</v>
      </c>
      <c r="H14" s="2">
        <f>G14+(G14/100*7)</f>
        <v>1.3859924000000001</v>
      </c>
      <c r="I14" s="2">
        <f>H14+(H14/100*7)</f>
        <v>1.4830118680000002</v>
      </c>
      <c r="J14" s="12">
        <f ca="1">IFERROR(FORECAST(E14, OFFSET(Mobility_Normative_Data!$A$3, MATCH(E14, Mobility_Normative_Data!$B$3:$B$17, -1)-1, 0, 2), OFFSET(Mobility_Normative_Data!$B$3, MATCH(E14, Mobility_Normative_Data!$B$3:$B$17, -1)-1, 0, 2)), INDEX(Mobility_Normative_Data!$A$3:$A$17, MATCH(E14, Mobility_Normative_Data!$B$3:$B$17, -1)))</f>
        <v>67.142857142857153</v>
      </c>
      <c r="K14" s="2"/>
      <c r="L14" s="2"/>
      <c r="M14" s="2"/>
      <c r="N14" s="2"/>
      <c r="O14" s="2"/>
    </row>
    <row r="15" spans="1:15" ht="28.8" x14ac:dyDescent="0.3">
      <c r="D15" s="12" t="s">
        <v>31</v>
      </c>
      <c r="E15" s="12">
        <v>7.8</v>
      </c>
      <c r="F15" s="2">
        <f>E15+(E15/100*10)</f>
        <v>8.58</v>
      </c>
      <c r="G15" s="2">
        <f>F15+(F15/100*10)</f>
        <v>9.4380000000000006</v>
      </c>
      <c r="H15" s="2">
        <f>G15+(G15/100*10)</f>
        <v>10.3818</v>
      </c>
      <c r="I15" s="2">
        <f>H15+(H15/100*10)</f>
        <v>11.419980000000001</v>
      </c>
      <c r="J15" s="12">
        <f ca="1">FORECAST(E15, OFFSET(Mobility_Normative_Data!$E$3, MATCH(E15, Mobility_Normative_Data!$F$3:$F$18, 1)-1, 0, 2), OFFSET(Mobility_Normative_Data!$F$3, MATCH(E15, Mobility_Normative_Data!$F$3:$F$18, 1)-1, 0, 2))</f>
        <v>58</v>
      </c>
      <c r="K15" s="2"/>
      <c r="L15" s="2"/>
      <c r="M15" s="2"/>
      <c r="N15" s="2"/>
      <c r="O15" s="2"/>
    </row>
    <row r="16" spans="1:15" ht="28.8" x14ac:dyDescent="0.3">
      <c r="D16" s="12" t="s">
        <v>32</v>
      </c>
      <c r="E16" s="12">
        <v>45</v>
      </c>
      <c r="F16" s="2">
        <f>E16-(E16/100*20)</f>
        <v>36</v>
      </c>
      <c r="G16" s="2">
        <f>F16+(F16/100*20)</f>
        <v>43.2</v>
      </c>
      <c r="H16" s="2">
        <f t="shared" ref="H16:I16" si="6">G16+(G16/100*20)</f>
        <v>51.84</v>
      </c>
      <c r="I16" s="2">
        <f t="shared" si="6"/>
        <v>62.208000000000006</v>
      </c>
      <c r="J16" s="12">
        <f ca="1">FORECAST(E16, OFFSET(Mobility_Normative_Data!$I$3, MATCH(E16, Mobility_Normative_Data!$J$3:$J$17, -1)-1, 0, 2), OFFSET(Mobility_Normative_Data!$J$3, MATCH(E16, Mobility_Normative_Data!$J$3:$J$17, -1)-1, 0, 2))</f>
        <v>20</v>
      </c>
      <c r="K16" s="2"/>
      <c r="L16" s="2"/>
      <c r="M16" s="2"/>
      <c r="N16" s="2"/>
      <c r="O16" s="2"/>
    </row>
    <row r="17" spans="1:15" x14ac:dyDescent="0.3">
      <c r="D17" s="12" t="s">
        <v>33</v>
      </c>
      <c r="E17" s="12">
        <v>38</v>
      </c>
      <c r="F17" s="2">
        <f>E17-(E17/100*10)</f>
        <v>34.200000000000003</v>
      </c>
      <c r="G17" s="2">
        <f>F17+(F17/100*10)</f>
        <v>37.620000000000005</v>
      </c>
      <c r="H17" s="2">
        <f>G17+(G17/100*10)</f>
        <v>41.382000000000005</v>
      </c>
      <c r="I17" s="2">
        <f>H17+(H17/100*10)</f>
        <v>45.520200000000003</v>
      </c>
      <c r="J17" s="12">
        <f ca="1">FORECAST(E17, OFFSET(Mobility_Normative_Data!$M$3, MATCH(E17, Mobility_Normative_Data!$N$3:$N$17, -1)-1, 0, 2), OFFSET(Mobility_Normative_Data!$N$3, MATCH(E17, Mobility_Normative_Data!$N$3:$N$17, -1)-1, 0, 2))</f>
        <v>25</v>
      </c>
      <c r="K17" s="2"/>
      <c r="L17" s="2"/>
      <c r="M17" s="2"/>
      <c r="N17" s="2"/>
      <c r="O17" s="2"/>
    </row>
    <row r="18" spans="1:15" ht="28.8" x14ac:dyDescent="0.3">
      <c r="D18" s="13" t="s">
        <v>35</v>
      </c>
      <c r="E18" s="13">
        <v>1</v>
      </c>
      <c r="F18" s="2">
        <f>E18 +(-0.2)</f>
        <v>0.8</v>
      </c>
      <c r="G18" s="2">
        <f>F18 +(-0.2)</f>
        <v>0.60000000000000009</v>
      </c>
      <c r="H18" s="2">
        <f>G18 +(-0.3)</f>
        <v>0.3000000000000001</v>
      </c>
      <c r="I18" s="2">
        <f>H18 +(-0.3)</f>
        <v>0</v>
      </c>
      <c r="J18" s="13">
        <f>MAX(18,B27-(E18*25))</f>
        <v>25</v>
      </c>
      <c r="K18" s="2"/>
      <c r="L18" s="2"/>
      <c r="M18" s="2"/>
      <c r="N18" s="2"/>
      <c r="O18" s="2"/>
    </row>
    <row r="19" spans="1:15" ht="28.8" x14ac:dyDescent="0.3">
      <c r="D19" s="13" t="s">
        <v>36</v>
      </c>
      <c r="E19" s="13">
        <v>1.2</v>
      </c>
      <c r="F19" s="2">
        <f>E19+(-0.2)</f>
        <v>1</v>
      </c>
      <c r="G19" s="2">
        <f>F19 +(-0.2)</f>
        <v>0.8</v>
      </c>
      <c r="H19" s="2">
        <f>G19 +(-0.3)</f>
        <v>0.5</v>
      </c>
      <c r="I19" s="2">
        <f>H19 +(-0.3)</f>
        <v>0.2</v>
      </c>
      <c r="J19" s="13">
        <f>MAX(18,B27-(E19*35))</f>
        <v>18</v>
      </c>
      <c r="K19" s="2"/>
      <c r="L19" s="2"/>
      <c r="M19" s="2"/>
      <c r="N19" s="2"/>
      <c r="O19" s="2"/>
    </row>
    <row r="23" spans="1:15" x14ac:dyDescent="0.3">
      <c r="A23" s="38" t="s">
        <v>37</v>
      </c>
      <c r="B23" s="38"/>
      <c r="C23" s="38"/>
      <c r="D23" s="38"/>
      <c r="E23" s="38"/>
      <c r="F23" s="38"/>
    </row>
    <row r="25" spans="1:15" x14ac:dyDescent="0.3">
      <c r="B25" t="s">
        <v>5</v>
      </c>
      <c r="C25" t="s">
        <v>6</v>
      </c>
      <c r="D25" t="s">
        <v>9</v>
      </c>
      <c r="E25" t="s">
        <v>10</v>
      </c>
      <c r="F25" t="s">
        <v>11</v>
      </c>
    </row>
    <row r="26" spans="1:15" x14ac:dyDescent="0.3">
      <c r="A26" t="s">
        <v>43</v>
      </c>
      <c r="B26" t="s">
        <v>44</v>
      </c>
    </row>
    <row r="27" spans="1:15" x14ac:dyDescent="0.3">
      <c r="A27" t="s">
        <v>7</v>
      </c>
      <c r="B27">
        <f>B2</f>
        <v>50</v>
      </c>
      <c r="C27">
        <f>B27+10</f>
        <v>60</v>
      </c>
      <c r="D27">
        <f>C27+10</f>
        <v>70</v>
      </c>
      <c r="E27">
        <f>D27+10</f>
        <v>80</v>
      </c>
      <c r="F27">
        <f>E27+10</f>
        <v>90</v>
      </c>
    </row>
    <row r="28" spans="1:15" x14ac:dyDescent="0.3">
      <c r="A28" t="s">
        <v>0</v>
      </c>
      <c r="B28" s="24">
        <f>M2</f>
        <v>-6.0157894736841939</v>
      </c>
      <c r="C28">
        <f>B28+(B28/100*11.5)</f>
        <v>-6.707605263157876</v>
      </c>
      <c r="D28">
        <f>C28+(C28/100*32.2)</f>
        <v>-8.8674541578947128</v>
      </c>
      <c r="E28">
        <f>D28+(D28/100*32.2)</f>
        <v>-11.72277439673681</v>
      </c>
      <c r="F28">
        <f>E28+(E28/100*32.2)</f>
        <v>-15.497507752486063</v>
      </c>
    </row>
    <row r="29" spans="1:15" x14ac:dyDescent="0.3">
      <c r="A29" t="s">
        <v>1</v>
      </c>
      <c r="B29">
        <f ca="1">M3</f>
        <v>53.666666666666671</v>
      </c>
      <c r="C29">
        <f ca="1">B29+(B29/100*12.3)</f>
        <v>60.26766666666667</v>
      </c>
      <c r="D29">
        <f ca="1">C29+(C29/100*30.8)</f>
        <v>78.83010800000001</v>
      </c>
      <c r="E29">
        <f ca="1">D29+(D29/100*30.8)</f>
        <v>103.10978126400002</v>
      </c>
      <c r="F29">
        <f ca="1">E29+(E29/100*30.8)</f>
        <v>134.86759389331203</v>
      </c>
    </row>
    <row r="30" spans="1:15" x14ac:dyDescent="0.3">
      <c r="A30" t="s">
        <v>2</v>
      </c>
      <c r="B30">
        <f>M4</f>
        <v>40.962401315789471</v>
      </c>
      <c r="C30">
        <f>B30+(B30/100*5.5)</f>
        <v>43.215333388157894</v>
      </c>
      <c r="D30">
        <f>C30+(C30/100*11)</f>
        <v>47.969020060855264</v>
      </c>
      <c r="E30">
        <f>D30+(D30/100*11)</f>
        <v>53.245612267549348</v>
      </c>
      <c r="F30">
        <f>E30+(E30/100*11)</f>
        <v>59.102629616979776</v>
      </c>
    </row>
    <row r="31" spans="1:15" x14ac:dyDescent="0.3">
      <c r="A31" t="s">
        <v>3</v>
      </c>
      <c r="B31">
        <f ca="1">M5</f>
        <v>44.392857142857146</v>
      </c>
      <c r="C31">
        <f ca="1">B31+(B31/100*9.9)</f>
        <v>48.787750000000003</v>
      </c>
      <c r="D31">
        <f ca="1">C31+(C31/100*19.8)</f>
        <v>58.447724500000007</v>
      </c>
      <c r="E31">
        <f ca="1">D31+(D31/100*19.8)</f>
        <v>70.02037395100001</v>
      </c>
      <c r="F31">
        <f ca="1">E31+(E31/100*19.8)</f>
        <v>83.884407993298012</v>
      </c>
    </row>
    <row r="32" spans="1:15" x14ac:dyDescent="0.3">
      <c r="A32" t="s">
        <v>4</v>
      </c>
      <c r="B32">
        <f>M6</f>
        <v>22.2</v>
      </c>
      <c r="C32">
        <f>B32+(B32/100*20)</f>
        <v>26.64</v>
      </c>
      <c r="D32">
        <f>C32+(C32/100*60)</f>
        <v>42.624000000000002</v>
      </c>
      <c r="E32">
        <f>D32+(D32/100*60)</f>
        <v>68.198400000000007</v>
      </c>
      <c r="F32">
        <f>E32+(E32/100*60)</f>
        <v>109.11744000000002</v>
      </c>
    </row>
    <row r="35" spans="1:26" ht="28.8" x14ac:dyDescent="0.3">
      <c r="M35" s="2" t="s">
        <v>103</v>
      </c>
      <c r="N35" s="2" t="s">
        <v>106</v>
      </c>
      <c r="O35" s="2"/>
      <c r="P35" s="2" t="s">
        <v>103</v>
      </c>
      <c r="Q35" s="2" t="s">
        <v>105</v>
      </c>
      <c r="R35" s="2"/>
      <c r="S35" s="2" t="s">
        <v>103</v>
      </c>
      <c r="T35" s="2" t="s">
        <v>107</v>
      </c>
      <c r="U35" s="2"/>
      <c r="V35" s="2" t="s">
        <v>103</v>
      </c>
      <c r="W35" s="2" t="s">
        <v>108</v>
      </c>
      <c r="X35" s="2"/>
      <c r="Y35" s="2" t="s">
        <v>103</v>
      </c>
      <c r="Z35" s="2" t="s">
        <v>109</v>
      </c>
    </row>
    <row r="36" spans="1:26" x14ac:dyDescent="0.3">
      <c r="A36" t="s">
        <v>8</v>
      </c>
      <c r="M36" s="2">
        <f>B27</f>
        <v>50</v>
      </c>
      <c r="N36" s="27">
        <f>M2</f>
        <v>-6.0157894736841939</v>
      </c>
      <c r="O36" s="2"/>
      <c r="P36" s="2">
        <f>M36</f>
        <v>50</v>
      </c>
      <c r="Q36" s="2">
        <f ca="1">M3</f>
        <v>53.666666666666671</v>
      </c>
      <c r="R36" s="2"/>
      <c r="S36" s="2">
        <f>M36</f>
        <v>50</v>
      </c>
      <c r="T36" s="2">
        <f>M4</f>
        <v>40.962401315789471</v>
      </c>
      <c r="U36" s="2"/>
      <c r="V36" s="2">
        <f>M36</f>
        <v>50</v>
      </c>
      <c r="W36" s="2">
        <f ca="1">M5</f>
        <v>44.392857142857146</v>
      </c>
      <c r="X36" s="2"/>
      <c r="Y36" s="2">
        <f>M36</f>
        <v>50</v>
      </c>
      <c r="Z36">
        <f>M6</f>
        <v>22.2</v>
      </c>
    </row>
    <row r="37" spans="1:26" x14ac:dyDescent="0.3">
      <c r="A37" s="1">
        <f ca="1">(B28/100*20)+(B29/100*20)+(B30/100*25)+(B31/100*20)+(B32/100*15)</f>
        <v>31.979347196115292</v>
      </c>
      <c r="M37" s="2">
        <f>M36+1</f>
        <v>51</v>
      </c>
      <c r="N37" s="2">
        <f t="shared" ref="N37:N46" si="7">N36-(N36*0.0115)</f>
        <v>-5.9466078947368253</v>
      </c>
      <c r="O37" s="2"/>
      <c r="P37" s="2">
        <f>P36+1</f>
        <v>51</v>
      </c>
      <c r="Q37" s="2">
        <f ca="1">Q36+(Q36*0.0123)</f>
        <v>54.326766666666671</v>
      </c>
      <c r="R37" s="2"/>
      <c r="S37" s="2">
        <f>S36+1</f>
        <v>51</v>
      </c>
      <c r="T37" s="2">
        <f>T36+(T36*0.011)</f>
        <v>41.412987730263154</v>
      </c>
      <c r="U37" s="2"/>
      <c r="V37" s="2">
        <f>V36+1</f>
        <v>51</v>
      </c>
      <c r="W37" s="2">
        <f ca="1">W36+(W36*0.0099)</f>
        <v>44.832346428571434</v>
      </c>
      <c r="X37" s="2"/>
      <c r="Y37" s="2">
        <f>Y36+1</f>
        <v>51</v>
      </c>
      <c r="Z37">
        <f>Z36+(Z36*0.02)</f>
        <v>22.643999999999998</v>
      </c>
    </row>
    <row r="38" spans="1:26" x14ac:dyDescent="0.3">
      <c r="M38" s="2">
        <f t="shared" ref="M38:M46" si="8">M37+1</f>
        <v>52</v>
      </c>
      <c r="N38" s="2">
        <f t="shared" si="7"/>
        <v>-5.8782219039473516</v>
      </c>
      <c r="O38" s="2"/>
      <c r="P38" s="2">
        <f t="shared" ref="P38:P46" si="9">P37+1</f>
        <v>52</v>
      </c>
      <c r="Q38" s="2">
        <f t="shared" ref="Q38:Q46" ca="1" si="10">Q37+(Q37*0.0123)</f>
        <v>54.99498589666667</v>
      </c>
      <c r="R38" s="2"/>
      <c r="S38" s="2">
        <f t="shared" ref="S38:S46" si="11">S37+1</f>
        <v>52</v>
      </c>
      <c r="T38" s="2">
        <f t="shared" ref="T38:T46" si="12">T37+(T37*0.011)</f>
        <v>41.86853059529605</v>
      </c>
      <c r="U38" s="2"/>
      <c r="V38" s="2">
        <f t="shared" ref="V38:V46" si="13">V37+1</f>
        <v>52</v>
      </c>
      <c r="W38" s="2">
        <f t="shared" ref="W38:W46" ca="1" si="14">W37+(W37*0.0099)</f>
        <v>45.276186658214293</v>
      </c>
      <c r="X38" s="2"/>
      <c r="Y38" s="2">
        <f t="shared" ref="Y38:Y46" si="15">Y37+1</f>
        <v>52</v>
      </c>
      <c r="Z38">
        <f t="shared" ref="Z38:Z46" si="16">Z37+(Z37*0.02)</f>
        <v>23.096879999999999</v>
      </c>
    </row>
    <row r="39" spans="1:26" x14ac:dyDescent="0.3">
      <c r="M39" s="2">
        <f t="shared" si="8"/>
        <v>53</v>
      </c>
      <c r="N39" s="2">
        <f t="shared" si="7"/>
        <v>-5.8106223520519569</v>
      </c>
      <c r="O39" s="2"/>
      <c r="P39" s="2">
        <f t="shared" si="9"/>
        <v>53</v>
      </c>
      <c r="Q39" s="2">
        <f t="shared" ca="1" si="10"/>
        <v>55.671424223195672</v>
      </c>
      <c r="R39" s="2"/>
      <c r="S39" s="2">
        <f t="shared" si="11"/>
        <v>53</v>
      </c>
      <c r="T39" s="2">
        <f t="shared" si="12"/>
        <v>42.329084431844308</v>
      </c>
      <c r="U39" s="2"/>
      <c r="V39" s="2">
        <f t="shared" si="13"/>
        <v>53</v>
      </c>
      <c r="W39" s="2">
        <f t="shared" ca="1" si="14"/>
        <v>45.724420906130618</v>
      </c>
      <c r="X39" s="2"/>
      <c r="Y39" s="2">
        <f t="shared" si="15"/>
        <v>53</v>
      </c>
      <c r="Z39">
        <f t="shared" si="16"/>
        <v>23.558817599999998</v>
      </c>
    </row>
    <row r="40" spans="1:26" x14ac:dyDescent="0.3">
      <c r="M40" s="2">
        <f t="shared" si="8"/>
        <v>54</v>
      </c>
      <c r="N40" s="2">
        <f t="shared" si="7"/>
        <v>-5.7438001950033595</v>
      </c>
      <c r="O40" s="2"/>
      <c r="P40" s="2">
        <f t="shared" si="9"/>
        <v>54</v>
      </c>
      <c r="Q40" s="2">
        <f t="shared" ca="1" si="10"/>
        <v>56.356182741140977</v>
      </c>
      <c r="R40" s="2"/>
      <c r="S40" s="2">
        <f t="shared" si="11"/>
        <v>54</v>
      </c>
      <c r="T40" s="2">
        <f t="shared" si="12"/>
        <v>42.794704360594594</v>
      </c>
      <c r="U40" s="2"/>
      <c r="V40" s="2">
        <f t="shared" si="13"/>
        <v>54</v>
      </c>
      <c r="W40" s="2">
        <f t="shared" ca="1" si="14"/>
        <v>46.177092673101313</v>
      </c>
      <c r="X40" s="2"/>
      <c r="Y40" s="2">
        <f t="shared" si="15"/>
        <v>54</v>
      </c>
      <c r="Z40">
        <f t="shared" si="16"/>
        <v>24.029993951999998</v>
      </c>
    </row>
    <row r="41" spans="1:26" x14ac:dyDescent="0.3">
      <c r="M41" s="2">
        <f t="shared" si="8"/>
        <v>55</v>
      </c>
      <c r="N41" s="2">
        <f t="shared" si="7"/>
        <v>-5.6777464927608206</v>
      </c>
      <c r="O41" s="2"/>
      <c r="P41" s="2">
        <f t="shared" si="9"/>
        <v>55</v>
      </c>
      <c r="Q41" s="2">
        <f t="shared" ca="1" si="10"/>
        <v>57.049363788857008</v>
      </c>
      <c r="R41" s="2"/>
      <c r="S41" s="2">
        <f t="shared" si="11"/>
        <v>55</v>
      </c>
      <c r="T41" s="2">
        <f t="shared" si="12"/>
        <v>43.265446108561136</v>
      </c>
      <c r="U41" s="2"/>
      <c r="V41" s="2">
        <f t="shared" si="13"/>
        <v>55</v>
      </c>
      <c r="W41" s="2">
        <f t="shared" ca="1" si="14"/>
        <v>46.634245890565019</v>
      </c>
      <c r="X41" s="2"/>
      <c r="Y41" s="2">
        <f t="shared" si="15"/>
        <v>55</v>
      </c>
      <c r="Z41">
        <f t="shared" si="16"/>
        <v>24.510593831039998</v>
      </c>
    </row>
    <row r="42" spans="1:26" x14ac:dyDescent="0.3">
      <c r="B42" t="s">
        <v>12</v>
      </c>
      <c r="C42" t="s">
        <v>0</v>
      </c>
      <c r="D42" t="s">
        <v>12</v>
      </c>
      <c r="E42" t="s">
        <v>1</v>
      </c>
      <c r="F42" t="s">
        <v>12</v>
      </c>
      <c r="G42" t="s">
        <v>2</v>
      </c>
      <c r="H42" t="s">
        <v>12</v>
      </c>
      <c r="I42" t="s">
        <v>3</v>
      </c>
      <c r="J42" t="s">
        <v>12</v>
      </c>
      <c r="K42" t="s">
        <v>4</v>
      </c>
      <c r="M42" s="2">
        <f t="shared" si="8"/>
        <v>56</v>
      </c>
      <c r="N42" s="2">
        <f t="shared" si="7"/>
        <v>-5.6124524080940708</v>
      </c>
      <c r="O42" s="2"/>
      <c r="P42" s="2">
        <f t="shared" si="9"/>
        <v>56</v>
      </c>
      <c r="Q42" s="2">
        <f t="shared" ca="1" si="10"/>
        <v>57.751070963459952</v>
      </c>
      <c r="R42" s="2"/>
      <c r="S42" s="2">
        <f t="shared" si="11"/>
        <v>56</v>
      </c>
      <c r="T42" s="2">
        <f t="shared" si="12"/>
        <v>43.741366015755311</v>
      </c>
      <c r="U42" s="2"/>
      <c r="V42" s="2">
        <f t="shared" si="13"/>
        <v>56</v>
      </c>
      <c r="W42" s="2">
        <f t="shared" ca="1" si="14"/>
        <v>47.095924924881615</v>
      </c>
      <c r="X42" s="2"/>
      <c r="Y42" s="2">
        <f t="shared" si="15"/>
        <v>56</v>
      </c>
      <c r="Z42">
        <f t="shared" si="16"/>
        <v>25.000805707660799</v>
      </c>
    </row>
    <row r="43" spans="1:26" x14ac:dyDescent="0.3">
      <c r="B43">
        <f>B27</f>
        <v>50</v>
      </c>
      <c r="C43">
        <f>B28</f>
        <v>-6.0157894736841939</v>
      </c>
      <c r="D43">
        <f>B43</f>
        <v>50</v>
      </c>
      <c r="E43">
        <f ca="1">B29</f>
        <v>53.666666666666671</v>
      </c>
      <c r="F43">
        <f>B27</f>
        <v>50</v>
      </c>
      <c r="G43">
        <f>B30</f>
        <v>40.962401315789471</v>
      </c>
      <c r="H43">
        <f>B27</f>
        <v>50</v>
      </c>
      <c r="I43">
        <f ca="1">B31</f>
        <v>44.392857142857146</v>
      </c>
      <c r="J43">
        <f>B27</f>
        <v>50</v>
      </c>
      <c r="K43">
        <f>B32</f>
        <v>22.2</v>
      </c>
      <c r="M43" s="2">
        <f t="shared" si="8"/>
        <v>57</v>
      </c>
      <c r="N43" s="2">
        <f t="shared" si="7"/>
        <v>-5.5479092054009893</v>
      </c>
      <c r="O43" s="2"/>
      <c r="P43" s="2">
        <f t="shared" si="9"/>
        <v>57</v>
      </c>
      <c r="Q43" s="2">
        <f t="shared" ca="1" si="10"/>
        <v>58.461409136310508</v>
      </c>
      <c r="R43" s="2"/>
      <c r="S43" s="2">
        <f t="shared" si="11"/>
        <v>57</v>
      </c>
      <c r="T43" s="2">
        <f t="shared" si="12"/>
        <v>44.222521041928623</v>
      </c>
      <c r="U43" s="2"/>
      <c r="V43" s="2">
        <f t="shared" si="13"/>
        <v>57</v>
      </c>
      <c r="W43" s="2">
        <f t="shared" ca="1" si="14"/>
        <v>47.56217458163794</v>
      </c>
      <c r="X43" s="2"/>
      <c r="Y43" s="2">
        <f t="shared" si="15"/>
        <v>57</v>
      </c>
      <c r="Z43">
        <f t="shared" si="16"/>
        <v>25.500821821814014</v>
      </c>
    </row>
    <row r="44" spans="1:26" x14ac:dyDescent="0.3">
      <c r="B44">
        <f>C27</f>
        <v>60</v>
      </c>
      <c r="C44">
        <f>C28</f>
        <v>-6.707605263157876</v>
      </c>
      <c r="D44">
        <f>B44</f>
        <v>60</v>
      </c>
      <c r="E44">
        <f ca="1">C29</f>
        <v>60.26766666666667</v>
      </c>
      <c r="F44">
        <f>C27</f>
        <v>60</v>
      </c>
      <c r="G44">
        <f>C30</f>
        <v>43.215333388157894</v>
      </c>
      <c r="H44">
        <f>C27</f>
        <v>60</v>
      </c>
      <c r="I44">
        <f ca="1">C31</f>
        <v>48.787750000000003</v>
      </c>
      <c r="J44">
        <f>C27</f>
        <v>60</v>
      </c>
      <c r="K44">
        <f>C32</f>
        <v>26.64</v>
      </c>
      <c r="M44" s="2">
        <f t="shared" si="8"/>
        <v>58</v>
      </c>
      <c r="N44" s="2">
        <f t="shared" si="7"/>
        <v>-5.4841082495388775</v>
      </c>
      <c r="O44" s="2"/>
      <c r="P44" s="2">
        <f t="shared" si="9"/>
        <v>58</v>
      </c>
      <c r="Q44" s="2">
        <f t="shared" ca="1" si="10"/>
        <v>59.180484468687126</v>
      </c>
      <c r="R44" s="2"/>
      <c r="S44" s="2">
        <f t="shared" si="11"/>
        <v>58</v>
      </c>
      <c r="T44" s="2">
        <f t="shared" si="12"/>
        <v>44.708968773389834</v>
      </c>
      <c r="U44" s="2"/>
      <c r="V44" s="2">
        <f t="shared" si="13"/>
        <v>58</v>
      </c>
      <c r="W44" s="2">
        <f t="shared" ca="1" si="14"/>
        <v>48.033040109996158</v>
      </c>
      <c r="X44" s="2"/>
      <c r="Y44" s="2">
        <f t="shared" si="15"/>
        <v>58</v>
      </c>
      <c r="Z44">
        <f t="shared" si="16"/>
        <v>26.010838258250295</v>
      </c>
    </row>
    <row r="45" spans="1:26" x14ac:dyDescent="0.3">
      <c r="B45">
        <f>D27</f>
        <v>70</v>
      </c>
      <c r="C45">
        <f>D28</f>
        <v>-8.8674541578947128</v>
      </c>
      <c r="D45">
        <f>D27</f>
        <v>70</v>
      </c>
      <c r="E45">
        <f ca="1">D29</f>
        <v>78.83010800000001</v>
      </c>
      <c r="F45">
        <f>D27</f>
        <v>70</v>
      </c>
      <c r="G45">
        <f>D30</f>
        <v>47.969020060855264</v>
      </c>
      <c r="H45">
        <f>D27</f>
        <v>70</v>
      </c>
      <c r="I45">
        <f ca="1">D31</f>
        <v>58.447724500000007</v>
      </c>
      <c r="J45">
        <f>D27</f>
        <v>70</v>
      </c>
      <c r="K45">
        <f>D32</f>
        <v>42.624000000000002</v>
      </c>
      <c r="M45" s="2">
        <f t="shared" si="8"/>
        <v>59</v>
      </c>
      <c r="N45" s="2">
        <f t="shared" si="7"/>
        <v>-5.4210410046691804</v>
      </c>
      <c r="O45" s="2"/>
      <c r="P45" s="2">
        <f t="shared" si="9"/>
        <v>59</v>
      </c>
      <c r="Q45" s="2">
        <f t="shared" ca="1" si="10"/>
        <v>59.90840442765198</v>
      </c>
      <c r="R45" s="2"/>
      <c r="S45" s="2">
        <f t="shared" si="11"/>
        <v>59</v>
      </c>
      <c r="T45" s="2">
        <f t="shared" si="12"/>
        <v>45.20076742989712</v>
      </c>
      <c r="U45" s="2"/>
      <c r="V45" s="2">
        <f t="shared" si="13"/>
        <v>59</v>
      </c>
      <c r="W45" s="2">
        <f t="shared" ca="1" si="14"/>
        <v>48.508567207085122</v>
      </c>
      <c r="X45" s="2"/>
      <c r="Y45" s="2">
        <f t="shared" si="15"/>
        <v>59</v>
      </c>
      <c r="Z45">
        <f t="shared" si="16"/>
        <v>26.531055023415302</v>
      </c>
    </row>
    <row r="46" spans="1:26" x14ac:dyDescent="0.3">
      <c r="B46">
        <f>E27</f>
        <v>80</v>
      </c>
      <c r="C46">
        <f>E28</f>
        <v>-11.72277439673681</v>
      </c>
      <c r="D46">
        <f>E27</f>
        <v>80</v>
      </c>
      <c r="E46">
        <f ca="1">E29</f>
        <v>103.10978126400002</v>
      </c>
      <c r="F46">
        <f>E27</f>
        <v>80</v>
      </c>
      <c r="G46">
        <f>E30</f>
        <v>53.245612267549348</v>
      </c>
      <c r="H46">
        <f>E27</f>
        <v>80</v>
      </c>
      <c r="I46">
        <f ca="1">E31</f>
        <v>70.02037395100001</v>
      </c>
      <c r="J46">
        <f>E27</f>
        <v>80</v>
      </c>
      <c r="K46">
        <f>E32</f>
        <v>68.198400000000007</v>
      </c>
      <c r="M46" s="2">
        <f t="shared" si="8"/>
        <v>60</v>
      </c>
      <c r="N46" s="2">
        <f t="shared" si="7"/>
        <v>-5.3586990331154851</v>
      </c>
      <c r="O46" s="2"/>
      <c r="P46" s="2">
        <f t="shared" si="9"/>
        <v>60</v>
      </c>
      <c r="Q46" s="2">
        <f t="shared" ca="1" si="10"/>
        <v>60.645277802112098</v>
      </c>
      <c r="R46" s="2"/>
      <c r="S46" s="2">
        <f t="shared" si="11"/>
        <v>60</v>
      </c>
      <c r="T46" s="2">
        <f t="shared" si="12"/>
        <v>45.697975871625985</v>
      </c>
      <c r="U46" s="2"/>
      <c r="V46" s="2">
        <f t="shared" si="13"/>
        <v>60</v>
      </c>
      <c r="W46" s="2">
        <f t="shared" ca="1" si="14"/>
        <v>48.988802022435266</v>
      </c>
      <c r="X46" s="2"/>
      <c r="Y46" s="2">
        <f t="shared" si="15"/>
        <v>60</v>
      </c>
      <c r="Z46">
        <f t="shared" si="16"/>
        <v>27.061676123883608</v>
      </c>
    </row>
    <row r="47" spans="1:26" x14ac:dyDescent="0.3">
      <c r="B47">
        <f>F27</f>
        <v>90</v>
      </c>
      <c r="C47">
        <f>F28</f>
        <v>-15.497507752486063</v>
      </c>
      <c r="D47">
        <f>F27</f>
        <v>90</v>
      </c>
      <c r="E47">
        <f ca="1">F29</f>
        <v>134.86759389331203</v>
      </c>
      <c r="F47">
        <f>F27</f>
        <v>90</v>
      </c>
      <c r="G47">
        <f ca="1">F31</f>
        <v>83.884407993298012</v>
      </c>
      <c r="H47">
        <f>F27</f>
        <v>90</v>
      </c>
      <c r="I47">
        <f ca="1">F31</f>
        <v>83.884407993298012</v>
      </c>
      <c r="J47">
        <f>F27</f>
        <v>90</v>
      </c>
      <c r="K47">
        <f>F32</f>
        <v>109.11744000000002</v>
      </c>
    </row>
  </sheetData>
  <mergeCells count="1">
    <mergeCell ref="A23:F2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E2B57-8AAE-4769-BAD2-7AE3D8A62B4E}">
  <dimension ref="A1:AC61"/>
  <sheetViews>
    <sheetView zoomScale="72" zoomScaleNormal="72" workbookViewId="0">
      <selection activeCell="P49" sqref="P49:AC61"/>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 min="23" max="23" width="11.5546875" bestFit="1" customWidth="1"/>
    <col min="26" max="26" width="11.5546875" bestFit="1" customWidth="1"/>
  </cols>
  <sheetData>
    <row r="1" spans="1:20" ht="28.8" x14ac:dyDescent="0.3">
      <c r="A1" s="8" t="s">
        <v>91</v>
      </c>
      <c r="B1" s="8" t="s">
        <v>98</v>
      </c>
      <c r="D1" s="2" t="s">
        <v>14</v>
      </c>
      <c r="E1" s="2"/>
      <c r="F1" s="2" t="s">
        <v>38</v>
      </c>
      <c r="G1" s="2" t="s">
        <v>39</v>
      </c>
      <c r="H1" s="2" t="s">
        <v>40</v>
      </c>
      <c r="I1" s="2" t="s">
        <v>41</v>
      </c>
      <c r="J1" s="2"/>
      <c r="K1" s="2"/>
      <c r="L1" s="2"/>
      <c r="M1" s="2" t="s">
        <v>42</v>
      </c>
      <c r="N1" s="2"/>
      <c r="O1" s="2"/>
    </row>
    <row r="2" spans="1:20" ht="28.8" x14ac:dyDescent="0.3">
      <c r="A2" s="8" t="s">
        <v>12</v>
      </c>
      <c r="B2" s="8">
        <v>24</v>
      </c>
      <c r="D2" s="9" t="s">
        <v>15</v>
      </c>
      <c r="E2" s="9">
        <v>31</v>
      </c>
      <c r="F2" s="2">
        <f>E2+(E2/100*10)</f>
        <v>34.1</v>
      </c>
      <c r="G2" s="2">
        <f>F2+(F2/100*10)</f>
        <v>37.510000000000005</v>
      </c>
      <c r="H2" s="2">
        <f>G2+(G2/100*10)</f>
        <v>41.261000000000003</v>
      </c>
      <c r="I2" s="2">
        <f>H2+(H2/100*15)</f>
        <v>47.450150000000001</v>
      </c>
      <c r="J2" s="9"/>
      <c r="K2" s="2"/>
      <c r="L2" s="9" t="s">
        <v>0</v>
      </c>
      <c r="M2" s="28">
        <f>B27+ ((1 -((E2 / 48) * 0.7 )-((E3/ 100) * 0.3 )) *100)</f>
        <v>52.391666666666659</v>
      </c>
      <c r="N2" s="2"/>
      <c r="O2" s="2"/>
    </row>
    <row r="3" spans="1:20" ht="86.4" x14ac:dyDescent="0.3">
      <c r="A3" s="8" t="s">
        <v>93</v>
      </c>
      <c r="B3" s="2" t="s">
        <v>97</v>
      </c>
      <c r="D3" s="9" t="s">
        <v>16</v>
      </c>
      <c r="E3" s="9">
        <v>88</v>
      </c>
      <c r="F3" s="2">
        <f>E3-(E3/100*10)</f>
        <v>79.2</v>
      </c>
      <c r="G3" s="2">
        <f>F3-(F3/100*10)</f>
        <v>71.28</v>
      </c>
      <c r="H3" s="2">
        <f>G3-(G3/100*15)</f>
        <v>60.588000000000001</v>
      </c>
      <c r="I3" s="2">
        <f>H3-(H3/100*15)</f>
        <v>51.4998</v>
      </c>
      <c r="J3" s="9"/>
      <c r="K3" s="2"/>
      <c r="L3" s="10" t="s">
        <v>1</v>
      </c>
      <c r="M3" s="10">
        <f ca="1">((J4/100*50)+(J5/100*25)+(J6/100*25))</f>
        <v>78.928571428571431</v>
      </c>
      <c r="N3" s="2"/>
      <c r="O3" s="25" t="s">
        <v>8</v>
      </c>
    </row>
    <row r="4" spans="1:20" ht="18" customHeight="1" x14ac:dyDescent="0.3">
      <c r="D4" s="10" t="s">
        <v>18</v>
      </c>
      <c r="E4" s="10">
        <v>36</v>
      </c>
      <c r="F4" s="2">
        <f>E4+(E4/100*10)</f>
        <v>39.6</v>
      </c>
      <c r="G4" s="2">
        <f>F4+(F4/100*10)</f>
        <v>43.56</v>
      </c>
      <c r="H4" s="2">
        <f>G4+(G4/100*6)+(G4/100*6)</f>
        <v>48.787199999999999</v>
      </c>
      <c r="I4" s="2">
        <f>H4+((H4/100)*15)</f>
        <v>56.10528</v>
      </c>
      <c r="J4" s="10">
        <f ca="1">IFERROR(
  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
  ),
  IF(E4 &gt; MAX(Strength_Normative_Data!$B$3:$B$16), 20, 85)
)</f>
        <v>85</v>
      </c>
      <c r="K4" s="2"/>
      <c r="L4" s="11" t="s">
        <v>2</v>
      </c>
      <c r="M4" s="11">
        <f>B27 - 9*M11</f>
        <v>25.132714285714286</v>
      </c>
      <c r="N4" s="2"/>
      <c r="O4" s="25">
        <f ca="1">A37</f>
        <v>48.847226190476192</v>
      </c>
    </row>
    <row r="5" spans="1:20" ht="28.8" x14ac:dyDescent="0.3">
      <c r="D5" s="10" t="s">
        <v>19</v>
      </c>
      <c r="E5" s="10">
        <v>1.9</v>
      </c>
      <c r="F5" s="2">
        <f>E5+(E5/100*12)</f>
        <v>2.1280000000000001</v>
      </c>
      <c r="G5" s="2">
        <f>F5+(F5/100*12)</f>
        <v>2.3833600000000001</v>
      </c>
      <c r="H5" s="2">
        <f>G5+(G5/100*1.2) + (G5/100* 13.5)</f>
        <v>2.73371392</v>
      </c>
      <c r="I5" s="2">
        <f>H5+(H5/100*15)</f>
        <v>3.1437710079999999</v>
      </c>
      <c r="J5" s="10">
        <f ca="1">FORECAST(E5, OFFSET(Strength_Normative_Data!$O$3, MATCH(E5, Strength_Normative_Data!$P$3:$P$17, -1)-1, 0, 2), OFFSET(Strength_Normative_Data!$P$3, MATCH(E5, Strength_Normative_Data!$P$3:$P$17, -1)-1, 0, 2))</f>
        <v>79.999999999999986</v>
      </c>
      <c r="K5" s="2"/>
      <c r="L5" s="12" t="s">
        <v>29</v>
      </c>
      <c r="M5" s="12">
        <f ca="1">((J14/100*30)+(J15/100*25)+(J16/100*30)+(J17/100*15))</f>
        <v>68</v>
      </c>
      <c r="N5" s="2"/>
      <c r="O5" s="2"/>
      <c r="T5" t="s">
        <v>119</v>
      </c>
    </row>
    <row r="6" spans="1:20" x14ac:dyDescent="0.3">
      <c r="D6" s="10" t="s">
        <v>20</v>
      </c>
      <c r="E6" s="10">
        <v>28</v>
      </c>
      <c r="F6" s="2">
        <f>E6+(E6/100*12)</f>
        <v>31.36</v>
      </c>
      <c r="G6" s="2">
        <f>F6+(F6/100*12)</f>
        <v>35.123199999999997</v>
      </c>
      <c r="H6" s="2">
        <f>G6+(G6/100*1.2) + (G6/100* 13.5)</f>
        <v>40.286310399999998</v>
      </c>
      <c r="I6" s="2">
        <f>H6+(H6/100*15)</f>
        <v>46.329256959999995</v>
      </c>
      <c r="J6" s="10">
        <f ca="1">FORECAST(E6, OFFSET(Strength_Normative_Data!$J$3, MATCH(E6, Strength_Normative_Data!$K$3:$K$16, -1)-1, 0, 2), OFFSET(Strength_Normative_Data!$K$3, MATCH(E6, Strength_Normative_Data!$K$3:$K$16, -1)-1, 0, 2))</f>
        <v>65.714285714285722</v>
      </c>
      <c r="K6" s="2"/>
      <c r="L6" s="13" t="s">
        <v>4</v>
      </c>
      <c r="M6" s="13">
        <f>((J18/100*60)+(J19/100*40))</f>
        <v>18</v>
      </c>
      <c r="N6" s="2"/>
      <c r="O6" s="2"/>
    </row>
    <row r="7" spans="1:20" x14ac:dyDescent="0.3">
      <c r="D7" s="11" t="s">
        <v>22</v>
      </c>
      <c r="E7" s="11">
        <v>28</v>
      </c>
      <c r="F7" s="2">
        <f>E7+(E7/100*6)</f>
        <v>29.68</v>
      </c>
      <c r="G7" s="2">
        <f t="shared" ref="G7:I7" si="0">F7+(F7/100*6)</f>
        <v>31.460799999999999</v>
      </c>
      <c r="H7" s="2">
        <f t="shared" si="0"/>
        <v>33.348447999999998</v>
      </c>
      <c r="I7" s="2">
        <f t="shared" si="0"/>
        <v>35.34935488</v>
      </c>
      <c r="J7" s="11"/>
      <c r="K7" s="2"/>
      <c r="L7" s="2"/>
      <c r="M7" s="2"/>
      <c r="N7" s="2"/>
      <c r="O7" s="2"/>
    </row>
    <row r="8" spans="1:20" ht="28.8" x14ac:dyDescent="0.3">
      <c r="D8" s="11" t="s">
        <v>23</v>
      </c>
      <c r="E8" s="11">
        <v>0.57999999999999996</v>
      </c>
      <c r="F8" s="2">
        <f>E8+(E8/100*4)</f>
        <v>0.60319999999999996</v>
      </c>
      <c r="G8" s="2">
        <f t="shared" ref="G8:I8" si="1">F8+(F8/100*4)</f>
        <v>0.627328</v>
      </c>
      <c r="H8" s="2">
        <f t="shared" si="1"/>
        <v>0.65242111999999997</v>
      </c>
      <c r="I8" s="2">
        <f t="shared" si="1"/>
        <v>0.67851796479999993</v>
      </c>
      <c r="J8" s="11">
        <f xml:space="preserve">
IF(E8&lt;=0.4,0,
IF(E8&lt;=0.5,20*(E8-0.4)/0.1,
IF(E8&lt;=0.6,20+40*(E8-0.5)/0.1,
60+40*(MIN(E8,0.75)-0.6)/0.15)))</f>
        <v>51.999999999999986</v>
      </c>
      <c r="K8" s="2"/>
      <c r="L8" s="2"/>
      <c r="M8" s="2"/>
      <c r="N8" s="2"/>
      <c r="O8" s="2"/>
    </row>
    <row r="9" spans="1:20" ht="28.8" x14ac:dyDescent="0.3">
      <c r="D9" s="11" t="s">
        <v>24</v>
      </c>
      <c r="E9" s="11">
        <v>5.9</v>
      </c>
      <c r="F9" s="2"/>
      <c r="G9" s="2"/>
      <c r="H9" s="2"/>
      <c r="I9" s="2"/>
      <c r="J9" s="11"/>
      <c r="K9" s="2"/>
      <c r="L9" s="2"/>
      <c r="M9" s="2"/>
      <c r="N9" s="2"/>
      <c r="O9" s="2"/>
    </row>
    <row r="10" spans="1:20" ht="28.8" x14ac:dyDescent="0.3">
      <c r="D10" s="11" t="s">
        <v>25</v>
      </c>
      <c r="E10" s="11">
        <v>5.8</v>
      </c>
      <c r="F10" s="2">
        <f>E10+(E10/100*5)</f>
        <v>6.09</v>
      </c>
      <c r="G10" s="2">
        <f t="shared" ref="G10:I10" si="2">F10+(F10/100*5)</f>
        <v>6.3944999999999999</v>
      </c>
      <c r="H10" s="2">
        <f t="shared" si="2"/>
        <v>6.7142249999999999</v>
      </c>
      <c r="I10" s="2">
        <f t="shared" si="2"/>
        <v>7.04993625</v>
      </c>
      <c r="J10" s="11">
        <f xml:space="preserve">
IF(E10&lt;5.7,10*(E10/5.7),
IF(E10&lt;6.5,10+40*(E10-5.7)/0.8,
50+50*(MIN(E10,9)-6.5)/2.5))</f>
        <v>14.999999999999982</v>
      </c>
      <c r="K10" s="2"/>
      <c r="L10" s="2" t="s">
        <v>89</v>
      </c>
      <c r="M10" s="2" t="s">
        <v>90</v>
      </c>
      <c r="N10" s="2"/>
      <c r="O10" s="2"/>
    </row>
    <row r="11" spans="1:20" x14ac:dyDescent="0.3">
      <c r="D11" s="11" t="s">
        <v>26</v>
      </c>
      <c r="E11" s="11">
        <v>2.9</v>
      </c>
      <c r="F11" s="2">
        <f>E11+(E11/100*14)</f>
        <v>3.306</v>
      </c>
      <c r="G11" s="2">
        <f t="shared" ref="G11:I11" si="3">F11+(F11/100*14)</f>
        <v>3.76884</v>
      </c>
      <c r="H11" s="2">
        <f t="shared" si="3"/>
        <v>4.2964776000000002</v>
      </c>
      <c r="I11" s="2">
        <f t="shared" si="3"/>
        <v>4.8979844640000003</v>
      </c>
      <c r="J11" s="11">
        <f xml:space="preserve">
IF(E11&lt;1.6,10*(E11/1.6),
IF(E11&lt;3,10+40*(E11-1.6)/1.4,
50+50*(MIN(E11,7)-3)/4))</f>
        <v>47.142857142857139</v>
      </c>
      <c r="K11" s="2"/>
      <c r="L11" s="2">
        <f>(0.3*K12)+(0.2*J8)+(0.15*J10)+(0.25*J11)+(0.1*J13)</f>
        <v>41.292857142857144</v>
      </c>
      <c r="M11" s="2">
        <f xml:space="preserve">
IF(L11&lt;=10,1.5-0.1*L11,
IF(L11&lt;=60,0.5-0.02*(L11-10),
-0.5-0.03*(L11-60)))</f>
        <v>-0.12585714285714289</v>
      </c>
      <c r="N11" s="2"/>
      <c r="O11" s="2"/>
    </row>
    <row r="12" spans="1:20" x14ac:dyDescent="0.3">
      <c r="D12" s="11" t="s">
        <v>27</v>
      </c>
      <c r="E12" s="11">
        <v>1.1000000000000001</v>
      </c>
      <c r="F12" s="2">
        <f>E12+(E12/100*6)</f>
        <v>1.1660000000000001</v>
      </c>
      <c r="G12" s="2">
        <f t="shared" ref="G12:I12" si="4">F12+(F12/100*6)</f>
        <v>1.2359600000000002</v>
      </c>
      <c r="H12" s="2">
        <f t="shared" si="4"/>
        <v>1.3101176000000001</v>
      </c>
      <c r="I12" s="2">
        <f t="shared" si="4"/>
        <v>1.3887246560000002</v>
      </c>
      <c r="J12" s="11">
        <f>E12*100</f>
        <v>110.00000000000001</v>
      </c>
      <c r="K12" s="11">
        <f xml:space="preserve">
IF(J12&lt;80,5*(J12/80),
IF(J12&lt;100,10+20*(J12-80)/20,
IF(J12&lt;130,30+25*(J12-100)/30,
IF(J12&lt;160,55+25*(J12-130)/30,
IF(J12&lt;200,80+20*(J12-160)/40,100)))))</f>
        <v>38.333333333333343</v>
      </c>
      <c r="L12" s="2"/>
      <c r="M12" s="2"/>
      <c r="N12" s="2"/>
      <c r="O12" s="2"/>
    </row>
    <row r="13" spans="1:20" x14ac:dyDescent="0.3">
      <c r="D13" s="11" t="s">
        <v>28</v>
      </c>
      <c r="E13" s="11">
        <v>3.5</v>
      </c>
      <c r="F13" s="2">
        <f>E13+(E13/100*18)</f>
        <v>4.13</v>
      </c>
      <c r="G13" s="2">
        <f t="shared" ref="G13:I13" si="5">F13+(F13/100*18)</f>
        <v>4.8734000000000002</v>
      </c>
      <c r="H13" s="2">
        <f t="shared" si="5"/>
        <v>5.7506120000000003</v>
      </c>
      <c r="I13" s="2">
        <f t="shared" si="5"/>
        <v>6.7857221600000006</v>
      </c>
      <c r="J13" s="11">
        <f xml:space="preserve">
IF(E13&lt;1,10*(E13/1),
IF(E13&lt;3,10+40*(E13-1)/2,
50+50*(MIN(E13,10)-3)/7))</f>
        <v>53.571428571428569</v>
      </c>
      <c r="K13" s="2"/>
      <c r="L13" s="2"/>
      <c r="M13" s="2"/>
      <c r="N13" s="2"/>
      <c r="O13" s="2"/>
    </row>
    <row r="14" spans="1:20" x14ac:dyDescent="0.3">
      <c r="D14" s="12" t="s">
        <v>30</v>
      </c>
      <c r="E14" s="12">
        <v>1.1000000000000001</v>
      </c>
      <c r="F14" s="2">
        <f>E14-(E14/100*6)</f>
        <v>1.034</v>
      </c>
      <c r="G14" s="2">
        <f>F14+(F14/100*6)</f>
        <v>1.0960400000000001</v>
      </c>
      <c r="H14" s="2">
        <f>G14+(G14/100*7)</f>
        <v>1.1727628000000001</v>
      </c>
      <c r="I14" s="2">
        <f>H14+(H14/100*7)</f>
        <v>1.2548561960000002</v>
      </c>
      <c r="J14" s="12">
        <f ca="1">IFERROR(FORECAST(E14, OFFSET(Mobility_Normative_Data!$A$3, MATCH(E14, Mobility_Normative_Data!$B$3:$B$17, -1)-1, 0, 2), OFFSET(Mobility_Normative_Data!$B$3, MATCH(E14, Mobility_Normative_Data!$B$3:$B$17, -1)-1, 0, 2)), INDEX(Mobility_Normative_Data!$A$3:$A$17, MATCH(E14, Mobility_Normative_Data!$B$3:$B$17, -1)))</f>
        <v>80</v>
      </c>
      <c r="K14" s="2"/>
      <c r="L14" s="2"/>
      <c r="M14" s="2"/>
      <c r="N14" s="2"/>
      <c r="O14" s="2"/>
    </row>
    <row r="15" spans="1:20" ht="28.8" x14ac:dyDescent="0.3">
      <c r="D15" s="12" t="s">
        <v>31</v>
      </c>
      <c r="E15" s="12">
        <v>8.5</v>
      </c>
      <c r="F15" s="2">
        <f>E15+(E15/100*10)</f>
        <v>9.35</v>
      </c>
      <c r="G15" s="2">
        <f>F15+(F15/100*10)</f>
        <v>10.285</v>
      </c>
      <c r="H15" s="2">
        <f>G15+(G15/100*10)</f>
        <v>11.313499999999999</v>
      </c>
      <c r="I15" s="2">
        <f>H15+(H15/100*10)</f>
        <v>12.444849999999999</v>
      </c>
      <c r="J15" s="12">
        <f ca="1">FORECAST(E15, OFFSET(Mobility_Normative_Data!$E$3, MATCH(E15, Mobility_Normative_Data!$F$3:$F$18, 1)-1, 0, 2), OFFSET(Mobility_Normative_Data!$F$3, MATCH(E15, Mobility_Normative_Data!$F$3:$F$18, 1)-1, 0, 2))</f>
        <v>65</v>
      </c>
      <c r="K15" s="2"/>
      <c r="L15" s="2"/>
      <c r="M15" s="2"/>
      <c r="N15" s="2"/>
      <c r="O15" s="2"/>
    </row>
    <row r="16" spans="1:20" ht="28.8" x14ac:dyDescent="0.3">
      <c r="D16" s="12" t="s">
        <v>32</v>
      </c>
      <c r="E16" s="12">
        <v>15</v>
      </c>
      <c r="F16" s="2">
        <f>E16-(E16/100*20)</f>
        <v>12</v>
      </c>
      <c r="G16" s="2">
        <f>F16+(F16/100*20)</f>
        <v>14.4</v>
      </c>
      <c r="H16" s="2">
        <f t="shared" ref="H16:I16" si="6">G16+(G16/100*20)</f>
        <v>17.28</v>
      </c>
      <c r="I16" s="2">
        <f t="shared" si="6"/>
        <v>20.736000000000001</v>
      </c>
      <c r="J16" s="12">
        <f ca="1">FORECAST(E16, OFFSET(Mobility_Normative_Data!$I$3, MATCH(E16, Mobility_Normative_Data!$J$3:$J$17, -1)-1, 0, 2), OFFSET(Mobility_Normative_Data!$J$3, MATCH(E16, Mobility_Normative_Data!$J$3:$J$17, -1)-1, 0, 2))</f>
        <v>75</v>
      </c>
      <c r="K16" s="2"/>
      <c r="L16" s="2"/>
      <c r="M16" s="2"/>
      <c r="N16" s="2"/>
      <c r="O16" s="2"/>
    </row>
    <row r="17" spans="1:15" x14ac:dyDescent="0.3">
      <c r="D17" s="12" t="s">
        <v>33</v>
      </c>
      <c r="E17" s="12">
        <v>36</v>
      </c>
      <c r="F17" s="2">
        <f>E17-(E17/100*10)</f>
        <v>32.4</v>
      </c>
      <c r="G17" s="2">
        <f>F17+(F17/100*10)</f>
        <v>35.64</v>
      </c>
      <c r="H17" s="2">
        <f>G17+(G17/100*10)</f>
        <v>39.204000000000001</v>
      </c>
      <c r="I17" s="2">
        <f>H17+(H17/100*10)</f>
        <v>43.124400000000001</v>
      </c>
      <c r="J17" s="12">
        <f ca="1">FORECAST(E17, OFFSET(Mobility_Normative_Data!$M$3, MATCH(E17, Mobility_Normative_Data!$N$3:$N$17, -1)-1, 0, 2), OFFSET(Mobility_Normative_Data!$N$3, MATCH(E17, Mobility_Normative_Data!$N$3:$N$17, -1)-1, 0, 2))</f>
        <v>35</v>
      </c>
      <c r="K17" s="2"/>
      <c r="L17" s="2"/>
      <c r="M17" s="2"/>
      <c r="N17" s="2"/>
      <c r="O17" s="2"/>
    </row>
    <row r="18" spans="1:15" ht="28.8" x14ac:dyDescent="0.3">
      <c r="D18" s="13" t="s">
        <v>35</v>
      </c>
      <c r="E18" s="13">
        <v>2.5</v>
      </c>
      <c r="F18" s="2">
        <f>E18 +(-0.2)</f>
        <v>2.2999999999999998</v>
      </c>
      <c r="G18" s="2">
        <f>F18 +(-0.2)</f>
        <v>2.0999999999999996</v>
      </c>
      <c r="H18" s="2">
        <f>G18 +(-0.3)</f>
        <v>1.7999999999999996</v>
      </c>
      <c r="I18" s="2">
        <f>H18 +(-0.3)</f>
        <v>1.4999999999999996</v>
      </c>
      <c r="J18" s="13">
        <f>MAX(18,B27-(E18*25))</f>
        <v>18</v>
      </c>
      <c r="K18" s="2"/>
      <c r="L18" s="2"/>
      <c r="M18" s="2"/>
      <c r="N18" s="2"/>
      <c r="O18" s="2"/>
    </row>
    <row r="19" spans="1:15" ht="28.8" x14ac:dyDescent="0.3">
      <c r="D19" s="13" t="s">
        <v>36</v>
      </c>
      <c r="E19" s="13">
        <v>1.5</v>
      </c>
      <c r="F19" s="2">
        <f>E19+(-0.2)</f>
        <v>1.3</v>
      </c>
      <c r="G19" s="2">
        <f>F19 +(-0.2)</f>
        <v>1.1000000000000001</v>
      </c>
      <c r="H19" s="2">
        <f>G19 +(-0.3)</f>
        <v>0.8</v>
      </c>
      <c r="I19" s="2">
        <f>H19 +(-0.3)</f>
        <v>0.5</v>
      </c>
      <c r="J19" s="13">
        <f>MAX(18,B27-(E19*35))</f>
        <v>18</v>
      </c>
      <c r="K19" s="2"/>
      <c r="L19" s="2"/>
      <c r="M19" s="2"/>
      <c r="N19" s="2"/>
      <c r="O19" s="2"/>
    </row>
    <row r="23" spans="1:15" x14ac:dyDescent="0.3">
      <c r="A23" s="38" t="s">
        <v>37</v>
      </c>
      <c r="B23" s="38"/>
      <c r="C23" s="38"/>
      <c r="D23" s="38"/>
      <c r="E23" s="38"/>
      <c r="F23" s="38"/>
    </row>
    <row r="25" spans="1:15" x14ac:dyDescent="0.3">
      <c r="B25" t="s">
        <v>5</v>
      </c>
      <c r="C25" t="s">
        <v>6</v>
      </c>
      <c r="D25" t="s">
        <v>9</v>
      </c>
      <c r="E25" t="s">
        <v>10</v>
      </c>
      <c r="F25" t="s">
        <v>11</v>
      </c>
    </row>
    <row r="26" spans="1:15" x14ac:dyDescent="0.3">
      <c r="A26" t="s">
        <v>43</v>
      </c>
      <c r="B26" t="s">
        <v>44</v>
      </c>
    </row>
    <row r="27" spans="1:15" x14ac:dyDescent="0.3">
      <c r="A27" t="s">
        <v>7</v>
      </c>
      <c r="B27">
        <f>B2</f>
        <v>24</v>
      </c>
      <c r="C27">
        <f>B27+10</f>
        <v>34</v>
      </c>
      <c r="D27">
        <f>C27+10</f>
        <v>44</v>
      </c>
      <c r="E27">
        <f>D27+10</f>
        <v>54</v>
      </c>
      <c r="F27">
        <f>E27+10</f>
        <v>64</v>
      </c>
    </row>
    <row r="28" spans="1:15" x14ac:dyDescent="0.3">
      <c r="A28" t="s">
        <v>0</v>
      </c>
      <c r="B28" s="24">
        <f>M2</f>
        <v>52.391666666666659</v>
      </c>
      <c r="C28">
        <f>B28+(B28/100*11.5)</f>
        <v>58.416708333333325</v>
      </c>
      <c r="D28">
        <f>C28+(C28/100*32.2)</f>
        <v>77.226888416666654</v>
      </c>
      <c r="E28">
        <f>D28+(D28/100*32.2)</f>
        <v>102.09394648683332</v>
      </c>
      <c r="F28">
        <f>E28+(E28/100*32.2)</f>
        <v>134.96819725559365</v>
      </c>
    </row>
    <row r="29" spans="1:15" x14ac:dyDescent="0.3">
      <c r="A29" t="s">
        <v>1</v>
      </c>
      <c r="B29">
        <f ca="1">M3</f>
        <v>78.928571428571431</v>
      </c>
      <c r="C29">
        <f ca="1">B29+(B29/100*12.3)</f>
        <v>88.636785714285722</v>
      </c>
      <c r="D29">
        <f ca="1">C29+(C29/100*30.8)</f>
        <v>115.93691571428573</v>
      </c>
      <c r="E29">
        <f ca="1">D29+(D29/100*30.8)</f>
        <v>151.64548575428574</v>
      </c>
      <c r="F29">
        <f ca="1">E29+(E29/100*30.8)</f>
        <v>198.35229536660574</v>
      </c>
    </row>
    <row r="30" spans="1:15" x14ac:dyDescent="0.3">
      <c r="A30" t="s">
        <v>2</v>
      </c>
      <c r="B30">
        <f>M4</f>
        <v>25.132714285714286</v>
      </c>
      <c r="C30">
        <f>B30+(B30/100*5.5)</f>
        <v>26.515013571428572</v>
      </c>
      <c r="D30">
        <f>C30+(C30/100*11)</f>
        <v>29.431665064285713</v>
      </c>
      <c r="E30">
        <f>D30+(D30/100*11)</f>
        <v>32.66914822135714</v>
      </c>
      <c r="F30">
        <f>E30+(E30/100*11)</f>
        <v>36.262754525706427</v>
      </c>
    </row>
    <row r="31" spans="1:15" x14ac:dyDescent="0.3">
      <c r="A31" t="s">
        <v>3</v>
      </c>
      <c r="B31">
        <f ca="1">M5</f>
        <v>68</v>
      </c>
      <c r="C31">
        <f ca="1">B31+(B31/100*9.9)</f>
        <v>74.731999999999999</v>
      </c>
      <c r="D31">
        <f ca="1">C31+(C31/100*19.8)</f>
        <v>89.528936000000002</v>
      </c>
      <c r="E31">
        <f ca="1">D31+(D31/100*19.8)</f>
        <v>107.25566532800001</v>
      </c>
      <c r="F31">
        <f ca="1">E31+(E31/100*19.8)</f>
        <v>128.492287062944</v>
      </c>
    </row>
    <row r="32" spans="1:15" x14ac:dyDescent="0.3">
      <c r="A32" t="s">
        <v>4</v>
      </c>
      <c r="B32">
        <f>M6</f>
        <v>18</v>
      </c>
      <c r="C32">
        <f>B32+(B32/100*20)</f>
        <v>21.6</v>
      </c>
      <c r="D32">
        <f>C32+(C32/100*60)</f>
        <v>34.56</v>
      </c>
      <c r="E32">
        <f>D32+(D32/100*60)</f>
        <v>55.296000000000006</v>
      </c>
      <c r="F32">
        <f>E32+(E32/100*60)</f>
        <v>88.473600000000005</v>
      </c>
    </row>
    <row r="36" spans="1:11" x14ac:dyDescent="0.3">
      <c r="A36" t="s">
        <v>8</v>
      </c>
    </row>
    <row r="37" spans="1:11" x14ac:dyDescent="0.3">
      <c r="A37" s="1">
        <f ca="1">(B28/100*20)+(B29/100*20)+(B30/100*25)+(B31/100*20)+(B32/100*15)</f>
        <v>48.847226190476192</v>
      </c>
    </row>
    <row r="42" spans="1:11" x14ac:dyDescent="0.3">
      <c r="B42" t="s">
        <v>12</v>
      </c>
      <c r="C42" t="s">
        <v>0</v>
      </c>
      <c r="D42" t="s">
        <v>12</v>
      </c>
      <c r="E42" t="s">
        <v>1</v>
      </c>
      <c r="F42" t="s">
        <v>12</v>
      </c>
      <c r="G42" t="s">
        <v>2</v>
      </c>
      <c r="H42" t="s">
        <v>12</v>
      </c>
      <c r="I42" t="s">
        <v>3</v>
      </c>
      <c r="J42" t="s">
        <v>12</v>
      </c>
      <c r="K42" t="s">
        <v>4</v>
      </c>
    </row>
    <row r="43" spans="1:11" x14ac:dyDescent="0.3">
      <c r="B43">
        <f>B27</f>
        <v>24</v>
      </c>
      <c r="C43">
        <f>B28</f>
        <v>52.391666666666659</v>
      </c>
      <c r="D43">
        <f>B43</f>
        <v>24</v>
      </c>
      <c r="E43">
        <f ca="1">B29</f>
        <v>78.928571428571431</v>
      </c>
      <c r="F43">
        <f>B27</f>
        <v>24</v>
      </c>
      <c r="G43">
        <f>B30</f>
        <v>25.132714285714286</v>
      </c>
      <c r="H43">
        <f>B27</f>
        <v>24</v>
      </c>
      <c r="I43">
        <f ca="1">B31</f>
        <v>68</v>
      </c>
      <c r="J43">
        <f>B27</f>
        <v>24</v>
      </c>
      <c r="K43">
        <f>B32</f>
        <v>18</v>
      </c>
    </row>
    <row r="44" spans="1:11" x14ac:dyDescent="0.3">
      <c r="B44">
        <f>C27</f>
        <v>34</v>
      </c>
      <c r="C44">
        <f>C28</f>
        <v>58.416708333333325</v>
      </c>
      <c r="D44">
        <f>B44</f>
        <v>34</v>
      </c>
      <c r="E44">
        <f ca="1">C29</f>
        <v>88.636785714285722</v>
      </c>
      <c r="F44">
        <f>C27</f>
        <v>34</v>
      </c>
      <c r="G44">
        <f>C30</f>
        <v>26.515013571428572</v>
      </c>
      <c r="H44">
        <f>C27</f>
        <v>34</v>
      </c>
      <c r="I44">
        <f ca="1">C31</f>
        <v>74.731999999999999</v>
      </c>
      <c r="J44">
        <f>C27</f>
        <v>34</v>
      </c>
      <c r="K44">
        <f>C32</f>
        <v>21.6</v>
      </c>
    </row>
    <row r="45" spans="1:11" x14ac:dyDescent="0.3">
      <c r="B45">
        <f>D27</f>
        <v>44</v>
      </c>
      <c r="C45">
        <f>D28</f>
        <v>77.226888416666654</v>
      </c>
      <c r="D45">
        <f>D27</f>
        <v>44</v>
      </c>
      <c r="E45">
        <f ca="1">D29</f>
        <v>115.93691571428573</v>
      </c>
      <c r="F45">
        <f>D27</f>
        <v>44</v>
      </c>
      <c r="G45">
        <f>D30</f>
        <v>29.431665064285713</v>
      </c>
      <c r="H45">
        <f>D27</f>
        <v>44</v>
      </c>
      <c r="I45">
        <f ca="1">D31</f>
        <v>89.528936000000002</v>
      </c>
      <c r="J45">
        <f>D27</f>
        <v>44</v>
      </c>
      <c r="K45">
        <f>D32</f>
        <v>34.56</v>
      </c>
    </row>
    <row r="46" spans="1:11" x14ac:dyDescent="0.3">
      <c r="B46">
        <f>E27</f>
        <v>54</v>
      </c>
      <c r="C46">
        <f>E28</f>
        <v>102.09394648683332</v>
      </c>
      <c r="D46">
        <f>E27</f>
        <v>54</v>
      </c>
      <c r="E46">
        <f ca="1">E29</f>
        <v>151.64548575428574</v>
      </c>
      <c r="F46">
        <f>E27</f>
        <v>54</v>
      </c>
      <c r="G46">
        <f>E30</f>
        <v>32.66914822135714</v>
      </c>
      <c r="H46">
        <f>E27</f>
        <v>54</v>
      </c>
      <c r="I46">
        <f ca="1">E31</f>
        <v>107.25566532800001</v>
      </c>
      <c r="J46">
        <f>E27</f>
        <v>54</v>
      </c>
      <c r="K46">
        <f>E32</f>
        <v>55.296000000000006</v>
      </c>
    </row>
    <row r="47" spans="1:11" x14ac:dyDescent="0.3">
      <c r="B47">
        <f>F27</f>
        <v>64</v>
      </c>
      <c r="C47">
        <f>F28</f>
        <v>134.96819725559365</v>
      </c>
      <c r="D47">
        <f>F27</f>
        <v>64</v>
      </c>
      <c r="E47">
        <f ca="1">F29</f>
        <v>198.35229536660574</v>
      </c>
      <c r="F47">
        <f>F27</f>
        <v>64</v>
      </c>
      <c r="G47">
        <f ca="1">F31</f>
        <v>128.492287062944</v>
      </c>
      <c r="H47">
        <f>F27</f>
        <v>64</v>
      </c>
      <c r="I47">
        <f ca="1">F31</f>
        <v>128.492287062944</v>
      </c>
      <c r="J47">
        <f>F27</f>
        <v>64</v>
      </c>
      <c r="K47">
        <f>F32</f>
        <v>88.473600000000005</v>
      </c>
    </row>
    <row r="49" spans="16:29" x14ac:dyDescent="0.3">
      <c r="P49" s="39" t="s">
        <v>104</v>
      </c>
      <c r="Q49" s="39"/>
      <c r="R49" s="39"/>
      <c r="S49" s="39"/>
      <c r="T49" s="39"/>
      <c r="U49" s="39"/>
      <c r="V49" s="39"/>
      <c r="W49" s="39"/>
      <c r="X49" s="39"/>
      <c r="Y49" s="39"/>
      <c r="Z49" s="39"/>
      <c r="AA49" s="39"/>
      <c r="AB49" s="39"/>
      <c r="AC49" s="39"/>
    </row>
    <row r="50" spans="16:29" ht="28.8" x14ac:dyDescent="0.3">
      <c r="P50" s="2" t="s">
        <v>103</v>
      </c>
      <c r="Q50" s="2" t="s">
        <v>106</v>
      </c>
      <c r="R50" s="2"/>
      <c r="S50" s="2" t="s">
        <v>103</v>
      </c>
      <c r="T50" s="2" t="s">
        <v>110</v>
      </c>
      <c r="U50" s="2"/>
      <c r="V50" s="2" t="s">
        <v>103</v>
      </c>
      <c r="W50" s="2" t="s">
        <v>111</v>
      </c>
      <c r="X50" s="2"/>
      <c r="Y50" s="2" t="s">
        <v>103</v>
      </c>
      <c r="Z50" s="2" t="s">
        <v>112</v>
      </c>
      <c r="AA50" s="2"/>
      <c r="AB50" s="2" t="s">
        <v>103</v>
      </c>
      <c r="AC50" s="2" t="s">
        <v>113</v>
      </c>
    </row>
    <row r="51" spans="16:29" x14ac:dyDescent="0.3">
      <c r="P51" s="2">
        <f>B27</f>
        <v>24</v>
      </c>
      <c r="Q51" s="27">
        <f>B28</f>
        <v>52.391666666666659</v>
      </c>
      <c r="R51" s="2"/>
      <c r="S51" s="2">
        <f>P51</f>
        <v>24</v>
      </c>
      <c r="T51" s="2">
        <f ca="1">B29</f>
        <v>78.928571428571431</v>
      </c>
      <c r="U51" s="2"/>
      <c r="V51" s="2">
        <f>P51</f>
        <v>24</v>
      </c>
      <c r="W51" s="2">
        <f>B30</f>
        <v>25.132714285714286</v>
      </c>
      <c r="X51" s="2"/>
      <c r="Y51" s="2">
        <f>P51</f>
        <v>24</v>
      </c>
      <c r="Z51" s="2">
        <f ca="1">B31</f>
        <v>68</v>
      </c>
      <c r="AA51" s="2"/>
      <c r="AB51" s="2">
        <f>P51</f>
        <v>24</v>
      </c>
      <c r="AC51">
        <f>B32</f>
        <v>18</v>
      </c>
    </row>
    <row r="52" spans="16:29" x14ac:dyDescent="0.3">
      <c r="P52" s="2">
        <f>P51+1</f>
        <v>25</v>
      </c>
      <c r="Q52" s="2">
        <f>Q51+(Q51*0.0115)</f>
        <v>52.994170833333328</v>
      </c>
      <c r="R52" s="2"/>
      <c r="S52" s="2">
        <f>S51+1</f>
        <v>25</v>
      </c>
      <c r="T52" s="2">
        <f ca="1">T51+(T51*0.0123)</f>
        <v>79.899392857142857</v>
      </c>
      <c r="U52" s="2"/>
      <c r="V52" s="2">
        <f>V51+1</f>
        <v>25</v>
      </c>
      <c r="W52" s="2">
        <f>W51+(W51*0.011)</f>
        <v>25.409174142857143</v>
      </c>
      <c r="X52" s="2"/>
      <c r="Y52" s="2">
        <f>Y51+1</f>
        <v>25</v>
      </c>
      <c r="Z52" s="2">
        <f ca="1">Z51+(Z51*0.0099)</f>
        <v>68.673199999999994</v>
      </c>
      <c r="AA52" s="2"/>
      <c r="AB52" s="2">
        <f>AB51+1</f>
        <v>25</v>
      </c>
      <c r="AC52">
        <f>AC51+(AC51*0.02)</f>
        <v>18.36</v>
      </c>
    </row>
    <row r="53" spans="16:29" x14ac:dyDescent="0.3">
      <c r="P53" s="2">
        <f t="shared" ref="P53:P61" si="7">P52+1</f>
        <v>26</v>
      </c>
      <c r="Q53" s="2">
        <f t="shared" ref="Q53:Q61" si="8">Q52+(Q52*0.0115)</f>
        <v>53.603603797916662</v>
      </c>
      <c r="R53" s="2"/>
      <c r="S53" s="2">
        <f t="shared" ref="S53:S61" si="9">S52+1</f>
        <v>26</v>
      </c>
      <c r="T53" s="2">
        <f t="shared" ref="T53:T61" ca="1" si="10">T52+(T52*0.0123)</f>
        <v>80.882155389285714</v>
      </c>
      <c r="U53" s="2"/>
      <c r="V53" s="2">
        <f t="shared" ref="V53:V61" si="11">V52+1</f>
        <v>26</v>
      </c>
      <c r="W53" s="2">
        <f t="shared" ref="W53:W61" si="12">W52+(W52*0.011)</f>
        <v>25.688675058428572</v>
      </c>
      <c r="X53" s="2"/>
      <c r="Y53" s="2">
        <f t="shared" ref="Y53:Y61" si="13">Y52+1</f>
        <v>26</v>
      </c>
      <c r="Z53" s="2">
        <f t="shared" ref="Z53:Z61" ca="1" si="14">Z52+(Z52*0.0099)</f>
        <v>69.353064679999989</v>
      </c>
      <c r="AA53" s="2"/>
      <c r="AB53" s="2">
        <f t="shared" ref="AB53:AB61" si="15">AB52+1</f>
        <v>26</v>
      </c>
      <c r="AC53">
        <f t="shared" ref="AC53:AC61" si="16">AC52+(AC52*0.02)</f>
        <v>18.7272</v>
      </c>
    </row>
    <row r="54" spans="16:29" x14ac:dyDescent="0.3">
      <c r="P54" s="2">
        <f t="shared" si="7"/>
        <v>27</v>
      </c>
      <c r="Q54" s="2">
        <f t="shared" si="8"/>
        <v>54.2200452415927</v>
      </c>
      <c r="R54" s="2"/>
      <c r="S54" s="2">
        <f t="shared" si="9"/>
        <v>27</v>
      </c>
      <c r="T54" s="2">
        <f t="shared" ca="1" si="10"/>
        <v>81.877005900573934</v>
      </c>
      <c r="U54" s="2"/>
      <c r="V54" s="2">
        <f t="shared" si="11"/>
        <v>27</v>
      </c>
      <c r="W54" s="2">
        <f t="shared" si="12"/>
        <v>25.971250484071287</v>
      </c>
      <c r="X54" s="2"/>
      <c r="Y54" s="2">
        <f t="shared" si="13"/>
        <v>27</v>
      </c>
      <c r="Z54" s="2">
        <f t="shared" ca="1" si="14"/>
        <v>70.039660020331993</v>
      </c>
      <c r="AA54" s="2"/>
      <c r="AB54" s="2">
        <f t="shared" si="15"/>
        <v>27</v>
      </c>
      <c r="AC54">
        <f t="shared" si="16"/>
        <v>19.101744</v>
      </c>
    </row>
    <row r="55" spans="16:29" x14ac:dyDescent="0.3">
      <c r="P55" s="2">
        <f t="shared" si="7"/>
        <v>28</v>
      </c>
      <c r="Q55" s="2">
        <f t="shared" si="8"/>
        <v>54.843575761871016</v>
      </c>
      <c r="R55" s="2"/>
      <c r="S55" s="2">
        <f t="shared" si="9"/>
        <v>28</v>
      </c>
      <c r="T55" s="2">
        <f t="shared" ca="1" si="10"/>
        <v>82.884093073150993</v>
      </c>
      <c r="U55" s="2"/>
      <c r="V55" s="2">
        <f t="shared" si="11"/>
        <v>28</v>
      </c>
      <c r="W55" s="2">
        <f t="shared" si="12"/>
        <v>26.25693423939607</v>
      </c>
      <c r="X55" s="2"/>
      <c r="Y55" s="2">
        <f t="shared" si="13"/>
        <v>28</v>
      </c>
      <c r="Z55" s="2">
        <f t="shared" ca="1" si="14"/>
        <v>70.733052654533282</v>
      </c>
      <c r="AA55" s="2"/>
      <c r="AB55" s="2">
        <f t="shared" si="15"/>
        <v>28</v>
      </c>
      <c r="AC55">
        <f t="shared" si="16"/>
        <v>19.483778879999999</v>
      </c>
    </row>
    <row r="56" spans="16:29" x14ac:dyDescent="0.3">
      <c r="P56" s="2">
        <f t="shared" si="7"/>
        <v>29</v>
      </c>
      <c r="Q56" s="2">
        <f t="shared" si="8"/>
        <v>55.474276883132532</v>
      </c>
      <c r="R56" s="2"/>
      <c r="S56" s="2">
        <f t="shared" si="9"/>
        <v>29</v>
      </c>
      <c r="T56" s="2">
        <f t="shared" ca="1" si="10"/>
        <v>83.903567417950754</v>
      </c>
      <c r="U56" s="2"/>
      <c r="V56" s="2">
        <f t="shared" si="11"/>
        <v>29</v>
      </c>
      <c r="W56" s="2">
        <f t="shared" si="12"/>
        <v>26.545760516029429</v>
      </c>
      <c r="X56" s="2"/>
      <c r="Y56" s="2">
        <f t="shared" si="13"/>
        <v>29</v>
      </c>
      <c r="Z56" s="2">
        <f t="shared" ca="1" si="14"/>
        <v>71.433309875813165</v>
      </c>
      <c r="AA56" s="2"/>
      <c r="AB56" s="2">
        <f t="shared" si="15"/>
        <v>29</v>
      </c>
      <c r="AC56">
        <f t="shared" si="16"/>
        <v>19.873454457599998</v>
      </c>
    </row>
    <row r="57" spans="16:29" x14ac:dyDescent="0.3">
      <c r="P57" s="2">
        <f t="shared" si="7"/>
        <v>30</v>
      </c>
      <c r="Q57" s="2">
        <f t="shared" si="8"/>
        <v>56.112231067288555</v>
      </c>
      <c r="R57" s="2"/>
      <c r="S57" s="2">
        <f t="shared" si="9"/>
        <v>30</v>
      </c>
      <c r="T57" s="2">
        <f t="shared" ca="1" si="10"/>
        <v>84.935581297191547</v>
      </c>
      <c r="U57" s="2"/>
      <c r="V57" s="2">
        <f t="shared" si="11"/>
        <v>30</v>
      </c>
      <c r="W57" s="2">
        <f t="shared" si="12"/>
        <v>26.837763881705751</v>
      </c>
      <c r="X57" s="2"/>
      <c r="Y57" s="2">
        <f t="shared" si="13"/>
        <v>30</v>
      </c>
      <c r="Z57" s="2">
        <f t="shared" ca="1" si="14"/>
        <v>72.140499643583709</v>
      </c>
      <c r="AA57" s="2"/>
      <c r="AB57" s="2">
        <f t="shared" si="15"/>
        <v>30</v>
      </c>
      <c r="AC57">
        <f t="shared" si="16"/>
        <v>20.270923546751998</v>
      </c>
    </row>
    <row r="58" spans="16:29" x14ac:dyDescent="0.3">
      <c r="P58" s="2">
        <f t="shared" si="7"/>
        <v>31</v>
      </c>
      <c r="Q58" s="2">
        <f t="shared" si="8"/>
        <v>56.757521724562373</v>
      </c>
      <c r="R58" s="2"/>
      <c r="S58" s="2">
        <f t="shared" si="9"/>
        <v>31</v>
      </c>
      <c r="T58" s="2">
        <f t="shared" ca="1" si="10"/>
        <v>85.980288947147002</v>
      </c>
      <c r="U58" s="2"/>
      <c r="V58" s="2">
        <f t="shared" si="11"/>
        <v>31</v>
      </c>
      <c r="W58" s="2">
        <f t="shared" si="12"/>
        <v>27.132979284404513</v>
      </c>
      <c r="X58" s="2"/>
      <c r="Y58" s="2">
        <f t="shared" si="13"/>
        <v>31</v>
      </c>
      <c r="Z58" s="2">
        <f t="shared" ca="1" si="14"/>
        <v>72.854690590055185</v>
      </c>
      <c r="AA58" s="2"/>
      <c r="AB58" s="2">
        <f t="shared" si="15"/>
        <v>31</v>
      </c>
      <c r="AC58">
        <f t="shared" si="16"/>
        <v>20.676342017687038</v>
      </c>
    </row>
    <row r="59" spans="16:29" x14ac:dyDescent="0.3">
      <c r="P59" s="2">
        <f t="shared" si="7"/>
        <v>32</v>
      </c>
      <c r="Q59" s="2">
        <f t="shared" si="8"/>
        <v>57.410233224394844</v>
      </c>
      <c r="R59" s="2"/>
      <c r="S59" s="2">
        <f t="shared" si="9"/>
        <v>32</v>
      </c>
      <c r="T59" s="2">
        <f t="shared" ca="1" si="10"/>
        <v>87.03784650119691</v>
      </c>
      <c r="U59" s="2"/>
      <c r="V59" s="2">
        <f t="shared" si="11"/>
        <v>32</v>
      </c>
      <c r="W59" s="2">
        <f t="shared" si="12"/>
        <v>27.431442056532962</v>
      </c>
      <c r="X59" s="2"/>
      <c r="Y59" s="2">
        <f t="shared" si="13"/>
        <v>32</v>
      </c>
      <c r="Z59" s="2">
        <f t="shared" ca="1" si="14"/>
        <v>73.575952026896729</v>
      </c>
      <c r="AA59" s="2"/>
      <c r="AB59" s="2">
        <f t="shared" si="15"/>
        <v>32</v>
      </c>
      <c r="AC59">
        <f t="shared" si="16"/>
        <v>21.089868858040777</v>
      </c>
    </row>
    <row r="60" spans="16:29" x14ac:dyDescent="0.3">
      <c r="P60" s="2">
        <f t="shared" si="7"/>
        <v>33</v>
      </c>
      <c r="Q60" s="2">
        <f t="shared" si="8"/>
        <v>58.070450906475386</v>
      </c>
      <c r="R60" s="2"/>
      <c r="S60" s="2">
        <f t="shared" si="9"/>
        <v>33</v>
      </c>
      <c r="T60" s="2">
        <f t="shared" ca="1" si="10"/>
        <v>88.108412013161626</v>
      </c>
      <c r="U60" s="2"/>
      <c r="V60" s="2">
        <f t="shared" si="11"/>
        <v>33</v>
      </c>
      <c r="W60" s="2">
        <f t="shared" si="12"/>
        <v>27.733187919154826</v>
      </c>
      <c r="X60" s="2"/>
      <c r="Y60" s="2">
        <f t="shared" si="13"/>
        <v>33</v>
      </c>
      <c r="Z60" s="2">
        <f t="shared" ca="1" si="14"/>
        <v>74.304353951963009</v>
      </c>
      <c r="AA60" s="2"/>
      <c r="AB60" s="2">
        <f t="shared" si="15"/>
        <v>33</v>
      </c>
      <c r="AC60">
        <f t="shared" si="16"/>
        <v>21.511666235201591</v>
      </c>
    </row>
    <row r="61" spans="16:29" x14ac:dyDescent="0.3">
      <c r="P61" s="2">
        <f t="shared" si="7"/>
        <v>34</v>
      </c>
      <c r="Q61" s="2">
        <f t="shared" si="8"/>
        <v>58.738261091899851</v>
      </c>
      <c r="R61" s="2"/>
      <c r="S61" s="2">
        <f t="shared" si="9"/>
        <v>34</v>
      </c>
      <c r="T61" s="2">
        <f t="shared" ca="1" si="10"/>
        <v>89.192145480923514</v>
      </c>
      <c r="U61" s="2"/>
      <c r="V61" s="2">
        <f t="shared" si="11"/>
        <v>34</v>
      </c>
      <c r="W61" s="2">
        <f t="shared" si="12"/>
        <v>28.03825298626553</v>
      </c>
      <c r="X61" s="2"/>
      <c r="Y61" s="2">
        <f t="shared" si="13"/>
        <v>34</v>
      </c>
      <c r="Z61" s="2">
        <f t="shared" ca="1" si="14"/>
        <v>75.039967056087448</v>
      </c>
      <c r="AA61" s="2"/>
      <c r="AB61" s="2">
        <f t="shared" si="15"/>
        <v>34</v>
      </c>
      <c r="AC61">
        <f t="shared" si="16"/>
        <v>21.941899559905622</v>
      </c>
    </row>
  </sheetData>
  <mergeCells count="2">
    <mergeCell ref="A23:F23"/>
    <mergeCell ref="P49:AC4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F3F2-19D1-402A-BF99-CE4614C1FAAF}">
  <dimension ref="A1:AB58"/>
  <sheetViews>
    <sheetView zoomScale="85" zoomScaleNormal="85" workbookViewId="0">
      <selection activeCell="L17" sqref="L17"/>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99</v>
      </c>
      <c r="D1" s="2" t="s">
        <v>14</v>
      </c>
      <c r="E1" s="2"/>
      <c r="F1" s="2" t="s">
        <v>38</v>
      </c>
      <c r="G1" s="2" t="s">
        <v>39</v>
      </c>
      <c r="H1" s="2" t="s">
        <v>40</v>
      </c>
      <c r="I1" s="2" t="s">
        <v>41</v>
      </c>
      <c r="J1" s="2"/>
      <c r="K1" s="2"/>
      <c r="L1" s="2"/>
      <c r="M1" s="2" t="s">
        <v>42</v>
      </c>
      <c r="N1" s="2"/>
      <c r="O1" s="2"/>
    </row>
    <row r="2" spans="1:15" ht="28.8" x14ac:dyDescent="0.3">
      <c r="A2" s="8" t="s">
        <v>12</v>
      </c>
      <c r="B2" s="8">
        <v>61</v>
      </c>
      <c r="D2" s="9" t="s">
        <v>15</v>
      </c>
      <c r="E2" s="9">
        <v>24</v>
      </c>
      <c r="F2" s="2">
        <f>E2+(E2/100*10)</f>
        <v>26.4</v>
      </c>
      <c r="G2" s="2">
        <f>F2+(F2/100*10)</f>
        <v>29.04</v>
      </c>
      <c r="H2" s="2">
        <f>G2+(G2/100*10)</f>
        <v>31.943999999999999</v>
      </c>
      <c r="I2" s="2">
        <f>H2+(H2/100*15)</f>
        <v>36.735599999999998</v>
      </c>
      <c r="J2" s="9"/>
      <c r="K2" s="2"/>
      <c r="L2" s="9" t="s">
        <v>0</v>
      </c>
      <c r="M2" s="28">
        <f>B27+ ((1 -((E2 / 30.2) * 0.7 )-((E3/ 100) * 0.3 )) *100)</f>
        <v>78.370860927152322</v>
      </c>
      <c r="N2" s="2"/>
      <c r="O2" s="2"/>
    </row>
    <row r="3" spans="1:15" ht="105" x14ac:dyDescent="0.3">
      <c r="A3" s="8" t="s">
        <v>93</v>
      </c>
      <c r="B3" s="26" t="s">
        <v>100</v>
      </c>
      <c r="D3" s="9" t="s">
        <v>16</v>
      </c>
      <c r="E3" s="9">
        <v>90</v>
      </c>
      <c r="F3" s="2">
        <f>E3-(E3/100*10)</f>
        <v>81</v>
      </c>
      <c r="G3" s="2">
        <f>F3-(F3/100*10)</f>
        <v>72.900000000000006</v>
      </c>
      <c r="H3" s="2">
        <f>G3-(G3/100*15)</f>
        <v>61.965000000000003</v>
      </c>
      <c r="I3" s="2">
        <f>H3-(H3/100*15)</f>
        <v>52.670250000000003</v>
      </c>
      <c r="J3" s="9"/>
      <c r="K3" s="2"/>
      <c r="L3" s="10" t="s">
        <v>1</v>
      </c>
      <c r="M3" s="10">
        <f ca="1">((J4/100*50)+(J5/100*25)+(J6/100*25))</f>
        <v>48.125</v>
      </c>
      <c r="N3" s="2"/>
      <c r="O3" s="25" t="s">
        <v>8</v>
      </c>
    </row>
    <row r="4" spans="1:15" ht="18" customHeight="1" x14ac:dyDescent="0.3">
      <c r="D4" s="10" t="s">
        <v>18</v>
      </c>
      <c r="E4" s="10">
        <v>51</v>
      </c>
      <c r="F4" s="2">
        <f>E4-(E4/100*10)</f>
        <v>45.9</v>
      </c>
      <c r="G4" s="2">
        <f>F4+(F4/100*10)</f>
        <v>50.489999999999995</v>
      </c>
      <c r="H4" s="2">
        <f>G4+(G4/100*6)+(G4/100*6)</f>
        <v>56.5488</v>
      </c>
      <c r="I4" s="2">
        <f>H4+((H4/100)*15)</f>
        <v>65.031120000000001</v>
      </c>
      <c r="J4" s="10">
        <f ca="1">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f>
        <v>30</v>
      </c>
      <c r="K4" s="2"/>
      <c r="L4" s="11" t="s">
        <v>2</v>
      </c>
      <c r="M4" s="11">
        <f>B27 - 9*M11</f>
        <v>63.302500000000002</v>
      </c>
      <c r="N4" s="2"/>
      <c r="O4" s="25">
        <f ca="1">A37</f>
        <v>67.869797185430457</v>
      </c>
    </row>
    <row r="5" spans="1:15" ht="28.8" x14ac:dyDescent="0.3">
      <c r="D5" s="10" t="s">
        <v>19</v>
      </c>
      <c r="E5" s="10">
        <v>2.8</v>
      </c>
      <c r="F5" s="2">
        <f>E5+(E5/100*12)</f>
        <v>3.1359999999999997</v>
      </c>
      <c r="G5" s="2">
        <f>F5+(F5/100*12)</f>
        <v>3.5123199999999999</v>
      </c>
      <c r="H5" s="2">
        <f>G5+(G5/100*1.2) + (G5/100* 13.5)</f>
        <v>4.0286310400000005</v>
      </c>
      <c r="I5" s="2">
        <f>H5+(H5/100*15)</f>
        <v>4.6329256960000009</v>
      </c>
      <c r="J5" s="10">
        <f ca="1">FORECAST(E5, OFFSET(Strength_Normative_Data!$O$3, MATCH(E5, Strength_Normative_Data!$P$3:$P$17, -1)-1, 0, 2), OFFSET(Strength_Normative_Data!$P$3, MATCH(E5, Strength_Normative_Data!$P$3:$P$17, -1)-1, 0, 2))</f>
        <v>57.5</v>
      </c>
      <c r="K5" s="2"/>
      <c r="L5" s="12" t="s">
        <v>29</v>
      </c>
      <c r="M5" s="12">
        <f ca="1">((J14/100*30)+(J15/100*25)+(J16/100*30)+(J17/100*15))</f>
        <v>80.25</v>
      </c>
      <c r="N5" s="2"/>
      <c r="O5" s="2"/>
    </row>
    <row r="6" spans="1:15" x14ac:dyDescent="0.3">
      <c r="D6" s="10" t="s">
        <v>20</v>
      </c>
      <c r="E6" s="10">
        <v>21.5</v>
      </c>
      <c r="F6" s="2">
        <f>E6+(E6/100*12)</f>
        <v>24.08</v>
      </c>
      <c r="G6" s="2">
        <f>F6+(F6/100*12)</f>
        <v>26.9696</v>
      </c>
      <c r="H6" s="2">
        <f>G6+(G6/100*1.2) + (G6/100* 13.5)</f>
        <v>30.934131199999996</v>
      </c>
      <c r="I6" s="2">
        <f>H6+(H6/100*15)</f>
        <v>35.574250879999994</v>
      </c>
      <c r="J6" s="10">
        <f ca="1">FORECAST(E6, OFFSET(Strength_Normative_Data!$J$3, MATCH(E6, Strength_Normative_Data!$K$3:$K$16, -1)-1, 0, 2), OFFSET(Strength_Normative_Data!$K$3, MATCH(E6, Strength_Normative_Data!$K$3:$K$16, -1)-1, 0, 2))</f>
        <v>75</v>
      </c>
      <c r="K6" s="2"/>
      <c r="L6" s="13" t="s">
        <v>4</v>
      </c>
      <c r="M6" s="13">
        <f>((J18/100*60)+(J19/100*40))</f>
        <v>71.300000000000011</v>
      </c>
      <c r="N6" s="2"/>
      <c r="O6" s="2"/>
    </row>
    <row r="7" spans="1:15" x14ac:dyDescent="0.3">
      <c r="D7" s="11" t="s">
        <v>22</v>
      </c>
      <c r="E7" s="11">
        <v>30</v>
      </c>
      <c r="F7" s="2">
        <f>E7+(E7/100*6)</f>
        <v>31.8</v>
      </c>
      <c r="G7" s="2">
        <f t="shared" ref="G7:I7" si="0">F7+(F7/100*6)</f>
        <v>33.707999999999998</v>
      </c>
      <c r="H7" s="2">
        <f t="shared" si="0"/>
        <v>35.73048</v>
      </c>
      <c r="I7" s="2">
        <f t="shared" si="0"/>
        <v>37.874308800000001</v>
      </c>
      <c r="J7" s="11"/>
      <c r="K7" s="2"/>
      <c r="L7" s="2"/>
      <c r="M7" s="2"/>
      <c r="N7" s="2"/>
      <c r="O7" s="2"/>
    </row>
    <row r="8" spans="1:15" ht="28.8" x14ac:dyDescent="0.3">
      <c r="D8" s="11" t="s">
        <v>23</v>
      </c>
      <c r="E8" s="11">
        <v>0.62</v>
      </c>
      <c r="F8" s="2">
        <f>E8+(E8/100*4)</f>
        <v>0.64480000000000004</v>
      </c>
      <c r="G8" s="2">
        <f t="shared" ref="G8:I8" si="1">F8+(F8/100*4)</f>
        <v>0.67059200000000008</v>
      </c>
      <c r="H8" s="2">
        <f t="shared" si="1"/>
        <v>0.69741568000000009</v>
      </c>
      <c r="I8" s="2">
        <f t="shared" si="1"/>
        <v>0.72531230720000006</v>
      </c>
      <c r="J8" s="11">
        <f xml:space="preserve">
IF(E8&lt;=0.4,0,
IF(E8&lt;=0.5,20*(E8-0.4)/0.1,
IF(E8&lt;=0.6,20+40*(E8-0.5)/0.1,
60+40*(MIN(E8,0.75)-0.6)/0.15)))</f>
        <v>65.333333333333343</v>
      </c>
      <c r="K8" s="2"/>
      <c r="L8" s="2"/>
      <c r="M8" s="2"/>
      <c r="N8" s="2"/>
      <c r="O8" s="2"/>
    </row>
    <row r="9" spans="1:15" ht="28.8" x14ac:dyDescent="0.3">
      <c r="D9" s="11" t="s">
        <v>24</v>
      </c>
      <c r="E9" s="11">
        <v>6.1</v>
      </c>
      <c r="F9" s="2"/>
      <c r="G9" s="2"/>
      <c r="H9" s="2"/>
      <c r="I9" s="2"/>
      <c r="J9" s="11"/>
      <c r="K9" s="2"/>
      <c r="L9" s="2"/>
      <c r="M9" s="2"/>
      <c r="N9" s="2"/>
      <c r="O9" s="2"/>
    </row>
    <row r="10" spans="1:15" ht="28.8" x14ac:dyDescent="0.3">
      <c r="D10" s="11" t="s">
        <v>25</v>
      </c>
      <c r="E10" s="11">
        <v>6</v>
      </c>
      <c r="F10" s="2">
        <f>E10+(E10/100*5)</f>
        <v>6.3</v>
      </c>
      <c r="G10" s="2">
        <f t="shared" ref="G10:I10" si="2">F10+(F10/100*5)</f>
        <v>6.6150000000000002</v>
      </c>
      <c r="H10" s="2">
        <f t="shared" si="2"/>
        <v>6.9457500000000003</v>
      </c>
      <c r="I10" s="2">
        <f t="shared" si="2"/>
        <v>7.2930375000000005</v>
      </c>
      <c r="J10" s="11">
        <f xml:space="preserve">
IF(E10&lt;5.7,10*(E10/5.7),
IF(E10&lt;6.5,10+40*(E10-5.7)/0.8,
50+50*(MIN(E10,9)-6.5)/2.5))</f>
        <v>24.999999999999993</v>
      </c>
      <c r="K10" s="2"/>
      <c r="L10" s="2" t="s">
        <v>89</v>
      </c>
      <c r="M10" s="2" t="s">
        <v>90</v>
      </c>
      <c r="N10" s="2"/>
      <c r="O10" s="2"/>
    </row>
    <row r="11" spans="1:15" x14ac:dyDescent="0.3">
      <c r="D11" s="11" t="s">
        <v>26</v>
      </c>
      <c r="E11" s="11">
        <v>3.2</v>
      </c>
      <c r="F11" s="2">
        <f>E11+(E11/100*14)</f>
        <v>3.6480000000000001</v>
      </c>
      <c r="G11" s="2">
        <f t="shared" ref="G11:I11" si="3">F11+(F11/100*14)</f>
        <v>4.1587199999999998</v>
      </c>
      <c r="H11" s="2">
        <f t="shared" si="3"/>
        <v>4.7409407999999997</v>
      </c>
      <c r="I11" s="2">
        <f t="shared" si="3"/>
        <v>5.4046725119999994</v>
      </c>
      <c r="J11" s="11">
        <f xml:space="preserve">
IF(E11&lt;1.6,10*(E11/1.6),
IF(E11&lt;3,10+40*(E11-1.6)/1.4,
50+50*(MIN(E11,7)-3)/4))</f>
        <v>52.5</v>
      </c>
      <c r="K11" s="2"/>
      <c r="L11" s="2">
        <f>(0.3*K12)+(0.2*J8)+(0.15*J10)+(0.25*J11)+(0.1*J13)</f>
        <v>47.791666666666671</v>
      </c>
      <c r="M11" s="2">
        <f xml:space="preserve">
IF(L11&lt;=10,1.5-0.1*L11,
IF(L11&lt;=60,0.5-0.02*(L11-10),
-0.5-0.03*(L11-60)))</f>
        <v>-0.25583333333333347</v>
      </c>
      <c r="N11" s="2"/>
      <c r="O11" s="2"/>
    </row>
    <row r="12" spans="1:15" x14ac:dyDescent="0.3">
      <c r="D12" s="11" t="s">
        <v>27</v>
      </c>
      <c r="E12" s="11">
        <v>1.25</v>
      </c>
      <c r="F12" s="2">
        <f>E12+(E12/100*6)</f>
        <v>1.325</v>
      </c>
      <c r="G12" s="2">
        <f t="shared" ref="G12:I12" si="4">F12+(F12/100*6)</f>
        <v>1.4044999999999999</v>
      </c>
      <c r="H12" s="2">
        <f t="shared" si="4"/>
        <v>1.4887699999999999</v>
      </c>
      <c r="I12" s="2">
        <f t="shared" si="4"/>
        <v>1.5780961999999998</v>
      </c>
      <c r="J12" s="11">
        <f>E12*100</f>
        <v>125</v>
      </c>
      <c r="K12" s="11">
        <f xml:space="preserve">
IF(J12&lt;80,5*(J12/80),
IF(J12&lt;100,10+20*(J12-80)/20,
IF(J12&lt;130,30+25*(J12-100)/30,
IF(J12&lt;160,55+25*(J12-130)/30,
IF(J12&lt;200,80+20*(J12-160)/40,100)))))</f>
        <v>50.833333333333329</v>
      </c>
      <c r="L12" s="2"/>
      <c r="M12" s="2"/>
      <c r="N12" s="2"/>
      <c r="O12" s="2"/>
    </row>
    <row r="13" spans="1:15" x14ac:dyDescent="0.3">
      <c r="D13" s="11" t="s">
        <v>28</v>
      </c>
      <c r="E13" s="11">
        <v>1.8</v>
      </c>
      <c r="F13" s="2">
        <f>E13+(E13/100*18)</f>
        <v>2.1240000000000001</v>
      </c>
      <c r="G13" s="2">
        <f t="shared" ref="G13:I13" si="5">F13+(F13/100*18)</f>
        <v>2.5063200000000001</v>
      </c>
      <c r="H13" s="2">
        <f t="shared" si="5"/>
        <v>2.9574576000000001</v>
      </c>
      <c r="I13" s="2">
        <f t="shared" si="5"/>
        <v>3.4897999680000003</v>
      </c>
      <c r="J13" s="11">
        <f xml:space="preserve">
IF(E13&lt;1,10*(E13/1),
IF(E13&lt;3,10+40*(E13-1)/2,
50+50*(MIN(E13,10)-3)/7))</f>
        <v>26</v>
      </c>
      <c r="K13" s="2"/>
      <c r="L13" s="2"/>
      <c r="M13" s="2"/>
      <c r="N13" s="2"/>
      <c r="O13" s="2"/>
    </row>
    <row r="14" spans="1:15" x14ac:dyDescent="0.3">
      <c r="D14" s="12" t="s">
        <v>30</v>
      </c>
      <c r="E14" s="12">
        <v>0.9</v>
      </c>
      <c r="F14" s="2">
        <f>E14-(E14/100*6)</f>
        <v>0.84599999999999997</v>
      </c>
      <c r="G14" s="2">
        <f>F14+(F14/100*6)</f>
        <v>0.89676</v>
      </c>
      <c r="H14" s="2">
        <f>G14+(G14/100*7)</f>
        <v>0.95953319999999998</v>
      </c>
      <c r="I14" s="2">
        <f>H14+(H14/100*7)</f>
        <v>1.026700524</v>
      </c>
      <c r="J14" s="12">
        <f ca="1">IFERROR(FORECAST(E14, OFFSET(Mobility_Normative_Data!$A$3, MATCH(E14, Mobility_Normative_Data!$B$3:$B$17, -1)-1, 0, 2), OFFSET(Mobility_Normative_Data!$B$3, MATCH(E14, Mobility_Normative_Data!$B$3:$B$17, -1)-1, 0, 2)), INDEX(Mobility_Normative_Data!$A$3:$A$17, MATCH(E14, Mobility_Normative_Data!$B$3:$B$17, -1)))</f>
        <v>80</v>
      </c>
      <c r="K14" s="2"/>
      <c r="L14" s="2"/>
      <c r="M14" s="2"/>
      <c r="N14" s="2"/>
      <c r="O14" s="2"/>
    </row>
    <row r="15" spans="1:15" ht="28.8" x14ac:dyDescent="0.3">
      <c r="D15" s="12" t="s">
        <v>31</v>
      </c>
      <c r="E15" s="12">
        <v>10.199999999999999</v>
      </c>
      <c r="F15" s="2">
        <f>E15+(E15/100*10)</f>
        <v>11.219999999999999</v>
      </c>
      <c r="G15" s="2">
        <f>F15+(F15/100*10)</f>
        <v>12.341999999999999</v>
      </c>
      <c r="H15" s="2">
        <f>G15+(G15/100*10)</f>
        <v>13.576199999999998</v>
      </c>
      <c r="I15" s="2">
        <f>H15+(H15/100*10)</f>
        <v>14.933819999999997</v>
      </c>
      <c r="J15" s="12">
        <f ca="1">FORECAST(E15, OFFSET(Mobility_Normative_Data!$E$3, MATCH(E15, Mobility_Normative_Data!$F$3:$F$18, 1)-1, 0, 2), OFFSET(Mobility_Normative_Data!$F$3, MATCH(E15, Mobility_Normative_Data!$F$3:$F$18, 1)-1, 0, 2))</f>
        <v>81</v>
      </c>
      <c r="K15" s="2"/>
      <c r="L15" s="2"/>
      <c r="M15" s="2"/>
      <c r="N15" s="2"/>
      <c r="O15" s="2"/>
    </row>
    <row r="16" spans="1:15" ht="28.8" x14ac:dyDescent="0.3">
      <c r="D16" s="12" t="s">
        <v>32</v>
      </c>
      <c r="E16" s="12">
        <v>8</v>
      </c>
      <c r="F16" s="2">
        <f>E16+(E16/100*20)</f>
        <v>9.6</v>
      </c>
      <c r="G16" s="2">
        <f>F16+(F16/100*20)</f>
        <v>11.52</v>
      </c>
      <c r="H16" s="2">
        <f t="shared" ref="H16:I16" si="6">G16+(G16/100*20)</f>
        <v>13.824</v>
      </c>
      <c r="I16" s="2">
        <f t="shared" si="6"/>
        <v>16.588799999999999</v>
      </c>
      <c r="J16" s="12">
        <f ca="1">FORECAST(E16, OFFSET(Mobility_Normative_Data!$I$3, MATCH(E16, Mobility_Normative_Data!$J$3:$J$17, -1)-1, 0, 2), OFFSET(Mobility_Normative_Data!$J$3, MATCH(E16, Mobility_Normative_Data!$J$3:$J$17, -1)-1, 0, 2))</f>
        <v>83.333333333333343</v>
      </c>
      <c r="K16" s="2"/>
      <c r="L16" s="2"/>
      <c r="M16" s="2"/>
      <c r="N16" s="2"/>
      <c r="O16" s="2"/>
    </row>
    <row r="17" spans="1:15" x14ac:dyDescent="0.3">
      <c r="D17" s="12" t="s">
        <v>33</v>
      </c>
      <c r="E17" s="12">
        <v>24</v>
      </c>
      <c r="F17" s="2">
        <f>E17+(E17/100*10)</f>
        <v>26.4</v>
      </c>
      <c r="G17" s="2">
        <f>F17+(F17/100*10)</f>
        <v>29.04</v>
      </c>
      <c r="H17" s="2">
        <f>G17+(G17/100*10)</f>
        <v>31.943999999999999</v>
      </c>
      <c r="I17" s="2">
        <f>H17+(H17/100*10)</f>
        <v>35.138399999999997</v>
      </c>
      <c r="J17" s="12">
        <f ca="1">FORECAST(E17, OFFSET(Mobility_Normative_Data!$M$3, MATCH(E17, Mobility_Normative_Data!$N$3:$N$17, -1)-1, 0, 2), OFFSET(Mobility_Normative_Data!$N$3, MATCH(E17, Mobility_Normative_Data!$N$3:$N$17, -1)-1, 0, 2))</f>
        <v>73.333333333333343</v>
      </c>
      <c r="K17" s="2"/>
      <c r="L17" s="2"/>
      <c r="M17" s="2"/>
      <c r="N17" s="2"/>
      <c r="O17" s="2"/>
    </row>
    <row r="18" spans="1:15" ht="28.8" x14ac:dyDescent="0.3">
      <c r="D18" s="13" t="s">
        <v>35</v>
      </c>
      <c r="E18" s="13">
        <v>-0.5</v>
      </c>
      <c r="F18" s="2">
        <f>E18 +(-0.2)</f>
        <v>-0.7</v>
      </c>
      <c r="G18" s="2">
        <f>F18 +(-0.2)</f>
        <v>-0.89999999999999991</v>
      </c>
      <c r="H18" s="2">
        <f>G18 +(-0.3)</f>
        <v>-1.2</v>
      </c>
      <c r="I18" s="2">
        <f>H18 +(-0.3)</f>
        <v>-1.5</v>
      </c>
      <c r="J18" s="13">
        <f>MAX(18,B27-(E18*25))</f>
        <v>73.5</v>
      </c>
      <c r="K18" s="2"/>
      <c r="L18" s="2"/>
      <c r="M18" s="2"/>
      <c r="N18" s="2"/>
      <c r="O18" s="2"/>
    </row>
    <row r="19" spans="1:15" ht="28.8" x14ac:dyDescent="0.3">
      <c r="D19" s="13" t="s">
        <v>36</v>
      </c>
      <c r="E19" s="13">
        <v>-0.2</v>
      </c>
      <c r="F19" s="2">
        <f>E19+(-0.2)</f>
        <v>-0.4</v>
      </c>
      <c r="G19" s="2">
        <f>F19 +(-0.2)</f>
        <v>-0.60000000000000009</v>
      </c>
      <c r="H19" s="2">
        <f>G19 +(-0.3)</f>
        <v>-0.90000000000000013</v>
      </c>
      <c r="I19" s="2">
        <f>H19 +(-0.3)</f>
        <v>-1.2000000000000002</v>
      </c>
      <c r="J19" s="13">
        <f>MAX(18,B27-(E19*35))</f>
        <v>68</v>
      </c>
      <c r="K19" s="2"/>
      <c r="L19" s="2"/>
      <c r="M19" s="2"/>
      <c r="N19" s="2"/>
      <c r="O19" s="2"/>
    </row>
    <row r="23" spans="1:15" x14ac:dyDescent="0.3">
      <c r="A23" s="38" t="s">
        <v>37</v>
      </c>
      <c r="B23" s="38"/>
      <c r="C23" s="38"/>
      <c r="D23" s="38"/>
      <c r="E23" s="38"/>
      <c r="F23" s="38"/>
    </row>
    <row r="25" spans="1:15" x14ac:dyDescent="0.3">
      <c r="B25" t="s">
        <v>5</v>
      </c>
      <c r="C25" t="s">
        <v>6</v>
      </c>
      <c r="D25" t="s">
        <v>9</v>
      </c>
      <c r="E25" t="s">
        <v>10</v>
      </c>
      <c r="F25" t="s">
        <v>11</v>
      </c>
    </row>
    <row r="26" spans="1:15" x14ac:dyDescent="0.3">
      <c r="A26" t="s">
        <v>43</v>
      </c>
      <c r="B26" t="s">
        <v>44</v>
      </c>
    </row>
    <row r="27" spans="1:15" x14ac:dyDescent="0.3">
      <c r="A27" t="s">
        <v>7</v>
      </c>
      <c r="B27">
        <f>B2</f>
        <v>61</v>
      </c>
      <c r="C27">
        <f>B27+10</f>
        <v>71</v>
      </c>
      <c r="D27">
        <f>C27+10</f>
        <v>81</v>
      </c>
      <c r="E27">
        <f>D27+10</f>
        <v>91</v>
      </c>
      <c r="F27">
        <f>E27+10</f>
        <v>101</v>
      </c>
    </row>
    <row r="28" spans="1:15" x14ac:dyDescent="0.3">
      <c r="A28" t="s">
        <v>0</v>
      </c>
      <c r="B28" s="24">
        <f>M2</f>
        <v>78.370860927152322</v>
      </c>
      <c r="C28">
        <f>B28+(B28/100*11.5)</f>
        <v>87.383509933774832</v>
      </c>
      <c r="D28">
        <f>C28+(C28/100*32.2)</f>
        <v>115.52100013245033</v>
      </c>
      <c r="E28">
        <f>D28+(D28/100*32.2)</f>
        <v>152.71876217509933</v>
      </c>
      <c r="F28">
        <f>E28+(E28/100*32.2)</f>
        <v>201.89420359548132</v>
      </c>
    </row>
    <row r="29" spans="1:15" x14ac:dyDescent="0.3">
      <c r="A29" t="s">
        <v>1</v>
      </c>
      <c r="B29">
        <f ca="1">M3</f>
        <v>48.125</v>
      </c>
      <c r="C29">
        <f ca="1">B29+(B29/100*12.3)</f>
        <v>54.044375000000002</v>
      </c>
      <c r="D29">
        <f ca="1">C29+(C29/100*30.8)</f>
        <v>70.690042500000004</v>
      </c>
      <c r="E29">
        <f ca="1">D29+(D29/100*30.8)</f>
        <v>92.46257559</v>
      </c>
      <c r="F29">
        <f ca="1">E29+(E29/100*30.8)</f>
        <v>120.94104887172</v>
      </c>
    </row>
    <row r="30" spans="1:15" x14ac:dyDescent="0.3">
      <c r="A30" t="s">
        <v>2</v>
      </c>
      <c r="B30">
        <f>M4</f>
        <v>63.302500000000002</v>
      </c>
      <c r="C30">
        <f>B30+(B30/100*5.5)</f>
        <v>66.7841375</v>
      </c>
      <c r="D30">
        <f>C30+(C30/100*11)</f>
        <v>74.130392624999999</v>
      </c>
      <c r="E30">
        <f>D30+(D30/100*11)</f>
        <v>82.284735813750004</v>
      </c>
      <c r="F30">
        <f>E30+(E30/100*11)</f>
        <v>91.336056753262511</v>
      </c>
    </row>
    <row r="31" spans="1:15" x14ac:dyDescent="0.3">
      <c r="A31" t="s">
        <v>3</v>
      </c>
      <c r="B31">
        <f ca="1">M5</f>
        <v>80.25</v>
      </c>
      <c r="C31">
        <f ca="1">B31+(B31/100*9.9)</f>
        <v>88.194749999999999</v>
      </c>
      <c r="D31">
        <f ca="1">C31+(C31/100*19.8)</f>
        <v>105.65731049999999</v>
      </c>
      <c r="E31">
        <f ca="1">D31+(D31/100*19.8)</f>
        <v>126.577457979</v>
      </c>
      <c r="F31">
        <f ca="1">E31+(E31/100*19.8)</f>
        <v>151.63979465884199</v>
      </c>
    </row>
    <row r="32" spans="1:15" x14ac:dyDescent="0.3">
      <c r="A32" t="s">
        <v>4</v>
      </c>
      <c r="B32">
        <f>M6</f>
        <v>71.300000000000011</v>
      </c>
      <c r="C32">
        <f>B32+(B32/100*20)</f>
        <v>85.560000000000016</v>
      </c>
      <c r="D32">
        <f>C32+(C32/100*60)</f>
        <v>136.89600000000002</v>
      </c>
      <c r="E32">
        <f>D32+(D32/100*60)</f>
        <v>219.03360000000004</v>
      </c>
      <c r="F32">
        <f>E32+(E32/100*60)</f>
        <v>350.45376000000005</v>
      </c>
    </row>
    <row r="36" spans="1:28" x14ac:dyDescent="0.3">
      <c r="A36" t="s">
        <v>8</v>
      </c>
    </row>
    <row r="37" spans="1:28" x14ac:dyDescent="0.3">
      <c r="A37" s="1">
        <f ca="1">(B28/100*20)+(B29/100*20)+(B30/100*25)+(B31/100*20)+(B32/100*15)</f>
        <v>67.869797185430457</v>
      </c>
    </row>
    <row r="42" spans="1:28" x14ac:dyDescent="0.3">
      <c r="B42" t="s">
        <v>12</v>
      </c>
      <c r="C42" t="s">
        <v>0</v>
      </c>
      <c r="D42" t="s">
        <v>12</v>
      </c>
      <c r="E42" t="s">
        <v>1</v>
      </c>
      <c r="F42" t="s">
        <v>12</v>
      </c>
      <c r="G42" t="s">
        <v>2</v>
      </c>
      <c r="H42" t="s">
        <v>12</v>
      </c>
      <c r="I42" t="s">
        <v>3</v>
      </c>
      <c r="J42" t="s">
        <v>12</v>
      </c>
      <c r="K42" t="s">
        <v>4</v>
      </c>
    </row>
    <row r="43" spans="1:28" x14ac:dyDescent="0.3">
      <c r="B43">
        <f>B27</f>
        <v>61</v>
      </c>
      <c r="C43">
        <f>B28</f>
        <v>78.370860927152322</v>
      </c>
      <c r="D43">
        <f>B43</f>
        <v>61</v>
      </c>
      <c r="E43">
        <f ca="1">B29</f>
        <v>48.125</v>
      </c>
      <c r="F43">
        <f>B27</f>
        <v>61</v>
      </c>
      <c r="G43">
        <f>B30</f>
        <v>63.302500000000002</v>
      </c>
      <c r="H43">
        <f>B27</f>
        <v>61</v>
      </c>
      <c r="I43">
        <f ca="1">B31</f>
        <v>80.25</v>
      </c>
      <c r="J43">
        <f>B27</f>
        <v>61</v>
      </c>
      <c r="K43">
        <f>B32</f>
        <v>71.300000000000011</v>
      </c>
    </row>
    <row r="44" spans="1:28" x14ac:dyDescent="0.3">
      <c r="B44">
        <f>C27</f>
        <v>71</v>
      </c>
      <c r="C44">
        <f>C28</f>
        <v>87.383509933774832</v>
      </c>
      <c r="D44">
        <f>B44</f>
        <v>71</v>
      </c>
      <c r="E44">
        <f ca="1">C29</f>
        <v>54.044375000000002</v>
      </c>
      <c r="F44">
        <f>C27</f>
        <v>71</v>
      </c>
      <c r="G44">
        <f>C30</f>
        <v>66.7841375</v>
      </c>
      <c r="H44">
        <f>C27</f>
        <v>71</v>
      </c>
      <c r="I44">
        <f ca="1">C31</f>
        <v>88.194749999999999</v>
      </c>
      <c r="J44">
        <f>C27</f>
        <v>71</v>
      </c>
      <c r="K44">
        <f>C32</f>
        <v>85.560000000000016</v>
      </c>
    </row>
    <row r="45" spans="1:28" x14ac:dyDescent="0.3">
      <c r="B45">
        <f>D27</f>
        <v>81</v>
      </c>
      <c r="C45">
        <f>D28</f>
        <v>115.52100013245033</v>
      </c>
      <c r="D45">
        <f>D27</f>
        <v>81</v>
      </c>
      <c r="E45">
        <f ca="1">D29</f>
        <v>70.690042500000004</v>
      </c>
      <c r="F45">
        <f>D27</f>
        <v>81</v>
      </c>
      <c r="G45">
        <f>D30</f>
        <v>74.130392624999999</v>
      </c>
      <c r="H45">
        <f>D27</f>
        <v>81</v>
      </c>
      <c r="I45">
        <f ca="1">D31</f>
        <v>105.65731049999999</v>
      </c>
      <c r="J45">
        <f>D27</f>
        <v>81</v>
      </c>
      <c r="K45">
        <f>D32</f>
        <v>136.89600000000002</v>
      </c>
    </row>
    <row r="46" spans="1:28" x14ac:dyDescent="0.3">
      <c r="B46">
        <f>E27</f>
        <v>91</v>
      </c>
      <c r="C46">
        <f>E28</f>
        <v>152.71876217509933</v>
      </c>
      <c r="D46">
        <f>E27</f>
        <v>91</v>
      </c>
      <c r="E46">
        <f ca="1">E29</f>
        <v>92.46257559</v>
      </c>
      <c r="F46">
        <f>E27</f>
        <v>91</v>
      </c>
      <c r="G46">
        <f>E30</f>
        <v>82.284735813750004</v>
      </c>
      <c r="H46">
        <f>E27</f>
        <v>91</v>
      </c>
      <c r="I46">
        <f ca="1">E31</f>
        <v>126.577457979</v>
      </c>
      <c r="J46">
        <f>E27</f>
        <v>91</v>
      </c>
      <c r="K46">
        <f>E32</f>
        <v>219.03360000000004</v>
      </c>
      <c r="O46" s="39" t="s">
        <v>104</v>
      </c>
      <c r="P46" s="39"/>
      <c r="Q46" s="39"/>
      <c r="R46" s="39"/>
      <c r="S46" s="39"/>
      <c r="T46" s="39"/>
      <c r="U46" s="39"/>
      <c r="V46" s="39"/>
      <c r="W46" s="39"/>
      <c r="X46" s="39"/>
      <c r="Y46" s="39"/>
      <c r="Z46" s="39"/>
      <c r="AA46" s="39"/>
      <c r="AB46" s="39"/>
    </row>
    <row r="47" spans="1:28" ht="28.8" x14ac:dyDescent="0.3">
      <c r="B47">
        <f>F27</f>
        <v>101</v>
      </c>
      <c r="C47">
        <f>F28</f>
        <v>201.89420359548132</v>
      </c>
      <c r="D47">
        <f>F27</f>
        <v>101</v>
      </c>
      <c r="E47">
        <f ca="1">F29</f>
        <v>120.94104887172</v>
      </c>
      <c r="F47">
        <f>F27</f>
        <v>101</v>
      </c>
      <c r="G47">
        <f ca="1">F31</f>
        <v>151.63979465884199</v>
      </c>
      <c r="H47">
        <f>F27</f>
        <v>101</v>
      </c>
      <c r="I47">
        <f ca="1">F31</f>
        <v>151.63979465884199</v>
      </c>
      <c r="J47">
        <f>F27</f>
        <v>101</v>
      </c>
      <c r="K47">
        <f>F32</f>
        <v>350.45376000000005</v>
      </c>
      <c r="O47" s="2" t="s">
        <v>103</v>
      </c>
      <c r="P47" s="2" t="s">
        <v>106</v>
      </c>
      <c r="Q47" s="2"/>
      <c r="R47" s="2" t="s">
        <v>103</v>
      </c>
      <c r="S47" s="2" t="s">
        <v>110</v>
      </c>
      <c r="T47" s="2"/>
      <c r="U47" s="2" t="s">
        <v>103</v>
      </c>
      <c r="V47" s="2" t="s">
        <v>111</v>
      </c>
      <c r="W47" s="2"/>
      <c r="X47" s="2" t="s">
        <v>103</v>
      </c>
      <c r="Y47" s="2" t="s">
        <v>112</v>
      </c>
      <c r="Z47" s="2"/>
      <c r="AA47" s="2" t="s">
        <v>103</v>
      </c>
      <c r="AB47" s="2" t="s">
        <v>113</v>
      </c>
    </row>
    <row r="48" spans="1:28" x14ac:dyDescent="0.3">
      <c r="O48" s="2">
        <f>B27</f>
        <v>61</v>
      </c>
      <c r="P48" s="27">
        <f>M2</f>
        <v>78.370860927152322</v>
      </c>
      <c r="Q48" s="2"/>
      <c r="R48" s="2">
        <f>O48</f>
        <v>61</v>
      </c>
      <c r="S48" s="2">
        <f ca="1">M3</f>
        <v>48.125</v>
      </c>
      <c r="T48" s="2"/>
      <c r="U48" s="2">
        <f>O48</f>
        <v>61</v>
      </c>
      <c r="V48" s="2">
        <f>M4</f>
        <v>63.302500000000002</v>
      </c>
      <c r="W48" s="2"/>
      <c r="X48" s="2">
        <f>O48</f>
        <v>61</v>
      </c>
      <c r="Y48" s="2">
        <f ca="1">M5</f>
        <v>80.25</v>
      </c>
      <c r="Z48" s="2"/>
      <c r="AA48" s="2">
        <f>O48</f>
        <v>61</v>
      </c>
      <c r="AB48">
        <f>M6</f>
        <v>71.300000000000011</v>
      </c>
    </row>
    <row r="49" spans="15:28" x14ac:dyDescent="0.3">
      <c r="O49" s="2">
        <f>O48+1</f>
        <v>62</v>
      </c>
      <c r="P49" s="2">
        <f>P48+(P48*0.0115)</f>
        <v>79.272125827814577</v>
      </c>
      <c r="Q49" s="2"/>
      <c r="R49" s="2">
        <f>R48+1</f>
        <v>62</v>
      </c>
      <c r="S49" s="2">
        <f ca="1">S48+(S48*0.0123)</f>
        <v>48.7169375</v>
      </c>
      <c r="T49" s="2"/>
      <c r="U49" s="2">
        <f>U48+1</f>
        <v>62</v>
      </c>
      <c r="V49" s="2">
        <f>V48+(V48*0.011)</f>
        <v>63.998827500000004</v>
      </c>
      <c r="W49" s="2"/>
      <c r="X49" s="2">
        <f>X48+1</f>
        <v>62</v>
      </c>
      <c r="Y49" s="2">
        <f ca="1">Y48+(Y48*0.0099)</f>
        <v>81.044475000000006</v>
      </c>
      <c r="Z49" s="2"/>
      <c r="AA49" s="2">
        <f>AA48+1</f>
        <v>62</v>
      </c>
      <c r="AB49">
        <f>AB48+(AB48*0.02)</f>
        <v>72.726000000000013</v>
      </c>
    </row>
    <row r="50" spans="15:28" x14ac:dyDescent="0.3">
      <c r="O50" s="2">
        <f t="shared" ref="O50:O58" si="7">O49+1</f>
        <v>63</v>
      </c>
      <c r="P50" s="2">
        <f t="shared" ref="P50:P58" si="8">P49+(P49*0.0115)</f>
        <v>80.183755274834439</v>
      </c>
      <c r="Q50" s="2"/>
      <c r="R50" s="2">
        <f t="shared" ref="R50:R58" si="9">R49+1</f>
        <v>63</v>
      </c>
      <c r="S50" s="2">
        <f t="shared" ref="S50:S58" ca="1" si="10">S49+(S49*0.0123)</f>
        <v>49.316155831250001</v>
      </c>
      <c r="T50" s="2"/>
      <c r="U50" s="2">
        <f t="shared" ref="U50:U58" si="11">U49+1</f>
        <v>63</v>
      </c>
      <c r="V50" s="2">
        <f t="shared" ref="V50:V58" si="12">V49+(V49*0.011)</f>
        <v>64.702814602499998</v>
      </c>
      <c r="W50" s="2"/>
      <c r="X50" s="2">
        <f t="shared" ref="X50:X58" si="13">X49+1</f>
        <v>63</v>
      </c>
      <c r="Y50" s="2">
        <f t="shared" ref="Y50:Y58" ca="1" si="14">Y49+(Y49*0.0099)</f>
        <v>81.846815302500005</v>
      </c>
      <c r="Z50" s="2"/>
      <c r="AA50" s="2">
        <f t="shared" ref="AA50:AA58" si="15">AA49+1</f>
        <v>63</v>
      </c>
      <c r="AB50">
        <f t="shared" ref="AB50:AB58" si="16">AB49+(AB49*0.02)</f>
        <v>74.180520000000016</v>
      </c>
    </row>
    <row r="51" spans="15:28" x14ac:dyDescent="0.3">
      <c r="O51" s="2">
        <f t="shared" si="7"/>
        <v>64</v>
      </c>
      <c r="P51" s="2">
        <f t="shared" si="8"/>
        <v>81.105868460495032</v>
      </c>
      <c r="Q51" s="2"/>
      <c r="R51" s="2">
        <f t="shared" si="9"/>
        <v>64</v>
      </c>
      <c r="S51" s="2">
        <f t="shared" ca="1" si="10"/>
        <v>49.922744547974375</v>
      </c>
      <c r="T51" s="2"/>
      <c r="U51" s="2">
        <f t="shared" si="11"/>
        <v>64</v>
      </c>
      <c r="V51" s="2">
        <f t="shared" si="12"/>
        <v>65.414545563127504</v>
      </c>
      <c r="W51" s="2"/>
      <c r="X51" s="2">
        <f t="shared" si="13"/>
        <v>64</v>
      </c>
      <c r="Y51" s="2">
        <f t="shared" ca="1" si="14"/>
        <v>82.657098773994761</v>
      </c>
      <c r="Z51" s="2"/>
      <c r="AA51" s="2">
        <f t="shared" si="15"/>
        <v>64</v>
      </c>
      <c r="AB51">
        <f t="shared" si="16"/>
        <v>75.664130400000019</v>
      </c>
    </row>
    <row r="52" spans="15:28" x14ac:dyDescent="0.3">
      <c r="O52" s="2">
        <f t="shared" si="7"/>
        <v>65</v>
      </c>
      <c r="P52" s="2">
        <f t="shared" si="8"/>
        <v>82.038585947790722</v>
      </c>
      <c r="Q52" s="2"/>
      <c r="R52" s="2">
        <f t="shared" si="9"/>
        <v>65</v>
      </c>
      <c r="S52" s="2">
        <f t="shared" ca="1" si="10"/>
        <v>50.536794305914462</v>
      </c>
      <c r="T52" s="2"/>
      <c r="U52" s="2">
        <f t="shared" si="11"/>
        <v>65</v>
      </c>
      <c r="V52" s="2">
        <f t="shared" si="12"/>
        <v>66.134105564321914</v>
      </c>
      <c r="W52" s="2"/>
      <c r="X52" s="2">
        <f t="shared" si="13"/>
        <v>65</v>
      </c>
      <c r="Y52" s="2">
        <f t="shared" ca="1" si="14"/>
        <v>83.475404051857311</v>
      </c>
      <c r="Z52" s="2"/>
      <c r="AA52" s="2">
        <f t="shared" si="15"/>
        <v>65</v>
      </c>
      <c r="AB52">
        <f t="shared" si="16"/>
        <v>77.177413008000016</v>
      </c>
    </row>
    <row r="53" spans="15:28" x14ac:dyDescent="0.3">
      <c r="O53" s="2">
        <f t="shared" si="7"/>
        <v>66</v>
      </c>
      <c r="P53" s="2">
        <f t="shared" si="8"/>
        <v>82.982029686190316</v>
      </c>
      <c r="Q53" s="2"/>
      <c r="R53" s="2">
        <f t="shared" si="9"/>
        <v>66</v>
      </c>
      <c r="S53" s="2">
        <f t="shared" ca="1" si="10"/>
        <v>51.158396875877209</v>
      </c>
      <c r="T53" s="2"/>
      <c r="U53" s="2">
        <f t="shared" si="11"/>
        <v>66</v>
      </c>
      <c r="V53" s="2">
        <f t="shared" si="12"/>
        <v>66.86158072552945</v>
      </c>
      <c r="W53" s="2"/>
      <c r="X53" s="2">
        <f t="shared" si="13"/>
        <v>66</v>
      </c>
      <c r="Y53" s="2">
        <f t="shared" ca="1" si="14"/>
        <v>84.301810551970704</v>
      </c>
      <c r="Z53" s="2"/>
      <c r="AA53" s="2">
        <f t="shared" si="15"/>
        <v>66</v>
      </c>
      <c r="AB53">
        <f t="shared" si="16"/>
        <v>78.720961268160011</v>
      </c>
    </row>
    <row r="54" spans="15:28" x14ac:dyDescent="0.3">
      <c r="O54" s="2">
        <f t="shared" si="7"/>
        <v>67</v>
      </c>
      <c r="P54" s="2">
        <f t="shared" si="8"/>
        <v>83.936323027581508</v>
      </c>
      <c r="Q54" s="2"/>
      <c r="R54" s="2">
        <f t="shared" si="9"/>
        <v>67</v>
      </c>
      <c r="S54" s="2">
        <f t="shared" ca="1" si="10"/>
        <v>51.787645157450498</v>
      </c>
      <c r="T54" s="2"/>
      <c r="U54" s="2">
        <f t="shared" si="11"/>
        <v>67</v>
      </c>
      <c r="V54" s="2">
        <f t="shared" si="12"/>
        <v>67.597058113510272</v>
      </c>
      <c r="W54" s="2"/>
      <c r="X54" s="2">
        <f t="shared" si="13"/>
        <v>67</v>
      </c>
      <c r="Y54" s="2">
        <f t="shared" ca="1" si="14"/>
        <v>85.136398476435218</v>
      </c>
      <c r="Z54" s="2"/>
      <c r="AA54" s="2">
        <f t="shared" si="15"/>
        <v>67</v>
      </c>
      <c r="AB54">
        <f t="shared" si="16"/>
        <v>80.295380493523211</v>
      </c>
    </row>
    <row r="55" spans="15:28" x14ac:dyDescent="0.3">
      <c r="O55" s="2">
        <f t="shared" si="7"/>
        <v>68</v>
      </c>
      <c r="P55" s="2">
        <f t="shared" si="8"/>
        <v>84.901590742398696</v>
      </c>
      <c r="Q55" s="2"/>
      <c r="R55" s="2">
        <f t="shared" si="9"/>
        <v>68</v>
      </c>
      <c r="S55" s="2">
        <f t="shared" ca="1" si="10"/>
        <v>52.424633192887143</v>
      </c>
      <c r="T55" s="2"/>
      <c r="U55" s="2">
        <f t="shared" si="11"/>
        <v>68</v>
      </c>
      <c r="V55" s="2">
        <f t="shared" si="12"/>
        <v>68.340625752758882</v>
      </c>
      <c r="W55" s="2"/>
      <c r="X55" s="2">
        <f t="shared" si="13"/>
        <v>68</v>
      </c>
      <c r="Y55" s="2">
        <f t="shared" ca="1" si="14"/>
        <v>85.979248821351931</v>
      </c>
      <c r="Z55" s="2"/>
      <c r="AA55" s="2">
        <f t="shared" si="15"/>
        <v>68</v>
      </c>
      <c r="AB55">
        <f t="shared" si="16"/>
        <v>81.901288103393682</v>
      </c>
    </row>
    <row r="56" spans="15:28" x14ac:dyDescent="0.3">
      <c r="O56" s="2">
        <f t="shared" si="7"/>
        <v>69</v>
      </c>
      <c r="P56" s="2">
        <f t="shared" si="8"/>
        <v>85.877959035936286</v>
      </c>
      <c r="Q56" s="2"/>
      <c r="R56" s="2">
        <f t="shared" si="9"/>
        <v>69</v>
      </c>
      <c r="S56" s="2">
        <f t="shared" ca="1" si="10"/>
        <v>53.069456181159651</v>
      </c>
      <c r="T56" s="2"/>
      <c r="U56" s="2">
        <f t="shared" si="11"/>
        <v>69</v>
      </c>
      <c r="V56" s="2">
        <f t="shared" si="12"/>
        <v>69.092372636039229</v>
      </c>
      <c r="W56" s="2"/>
      <c r="X56" s="2">
        <f t="shared" si="13"/>
        <v>69</v>
      </c>
      <c r="Y56" s="2">
        <f t="shared" ca="1" si="14"/>
        <v>86.830443384683321</v>
      </c>
      <c r="Z56" s="2"/>
      <c r="AA56" s="2">
        <f t="shared" si="15"/>
        <v>69</v>
      </c>
      <c r="AB56">
        <f t="shared" si="16"/>
        <v>83.539313865461551</v>
      </c>
    </row>
    <row r="57" spans="15:28" x14ac:dyDescent="0.3">
      <c r="O57" s="2">
        <f t="shared" si="7"/>
        <v>70</v>
      </c>
      <c r="P57" s="2">
        <f t="shared" si="8"/>
        <v>86.865555564849558</v>
      </c>
      <c r="Q57" s="2"/>
      <c r="R57" s="2">
        <f t="shared" si="9"/>
        <v>70</v>
      </c>
      <c r="S57" s="2">
        <f t="shared" ca="1" si="10"/>
        <v>53.722210492187912</v>
      </c>
      <c r="T57" s="2"/>
      <c r="U57" s="2">
        <f t="shared" si="11"/>
        <v>70</v>
      </c>
      <c r="V57" s="2">
        <f t="shared" si="12"/>
        <v>69.85238873503566</v>
      </c>
      <c r="W57" s="2"/>
      <c r="X57" s="2">
        <f t="shared" si="13"/>
        <v>70</v>
      </c>
      <c r="Y57" s="2">
        <f t="shared" ca="1" si="14"/>
        <v>87.690064774191683</v>
      </c>
      <c r="Z57" s="2"/>
      <c r="AA57" s="2">
        <f t="shared" si="15"/>
        <v>70</v>
      </c>
      <c r="AB57">
        <f t="shared" si="16"/>
        <v>85.210100142770784</v>
      </c>
    </row>
    <row r="58" spans="15:28" x14ac:dyDescent="0.3">
      <c r="O58" s="2">
        <f t="shared" si="7"/>
        <v>71</v>
      </c>
      <c r="P58" s="2">
        <f t="shared" si="8"/>
        <v>87.864509453845329</v>
      </c>
      <c r="Q58" s="2"/>
      <c r="R58" s="2">
        <f t="shared" si="9"/>
        <v>71</v>
      </c>
      <c r="S58" s="2">
        <f t="shared" ca="1" si="10"/>
        <v>54.382993681241821</v>
      </c>
      <c r="T58" s="2"/>
      <c r="U58" s="2">
        <f t="shared" si="11"/>
        <v>71</v>
      </c>
      <c r="V58" s="2">
        <f t="shared" si="12"/>
        <v>70.620765011121051</v>
      </c>
      <c r="W58" s="2"/>
      <c r="X58" s="2">
        <f t="shared" si="13"/>
        <v>71</v>
      </c>
      <c r="Y58" s="2">
        <f t="shared" ca="1" si="14"/>
        <v>88.55819641545618</v>
      </c>
      <c r="Z58" s="2"/>
      <c r="AA58" s="2">
        <f t="shared" si="15"/>
        <v>71</v>
      </c>
      <c r="AB58">
        <f t="shared" si="16"/>
        <v>86.914302145626195</v>
      </c>
    </row>
  </sheetData>
  <mergeCells count="2">
    <mergeCell ref="A23:F23"/>
    <mergeCell ref="O46:AB4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ED13E-1BE4-427C-8371-DCFF735ECBB9}">
  <dimension ref="A1:O47"/>
  <sheetViews>
    <sheetView zoomScale="92" zoomScaleNormal="92" workbookViewId="0">
      <selection activeCell="M3" sqref="M3"/>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101</v>
      </c>
      <c r="D1" s="2" t="s">
        <v>14</v>
      </c>
      <c r="E1" s="2"/>
      <c r="F1" s="2" t="s">
        <v>38</v>
      </c>
      <c r="G1" s="2" t="s">
        <v>39</v>
      </c>
      <c r="H1" s="2" t="s">
        <v>40</v>
      </c>
      <c r="I1" s="2" t="s">
        <v>41</v>
      </c>
      <c r="J1" s="2"/>
      <c r="K1" s="2"/>
      <c r="L1" s="2"/>
      <c r="M1" s="2" t="s">
        <v>42</v>
      </c>
      <c r="N1" s="2"/>
      <c r="O1" s="2"/>
    </row>
    <row r="2" spans="1:15" ht="28.8" x14ac:dyDescent="0.3">
      <c r="A2" s="8" t="s">
        <v>12</v>
      </c>
      <c r="B2" s="8">
        <v>41</v>
      </c>
      <c r="D2" s="9" t="s">
        <v>15</v>
      </c>
      <c r="E2" s="9">
        <v>45</v>
      </c>
      <c r="F2" s="2">
        <f>E2+(E2/100*10)</f>
        <v>49.5</v>
      </c>
      <c r="G2" s="2">
        <f>F2+(F2/100*10)</f>
        <v>54.45</v>
      </c>
      <c r="H2" s="2">
        <f>G2+(G2/100*10)</f>
        <v>59.895000000000003</v>
      </c>
      <c r="I2" s="2">
        <f>H2+(H2/100*15)</f>
        <v>68.879249999999999</v>
      </c>
      <c r="J2" s="9"/>
      <c r="K2" s="2"/>
      <c r="L2" s="9" t="s">
        <v>0</v>
      </c>
      <c r="M2" s="28">
        <f>B27+ ((1 -((E2 / 30.6) * 0.7 )-((E3/ 100) * 0.3 )) *100)</f>
        <v>8.3588235294117794</v>
      </c>
      <c r="N2" s="2"/>
      <c r="O2" s="2"/>
    </row>
    <row r="3" spans="1:15" ht="105" x14ac:dyDescent="0.3">
      <c r="A3" s="8" t="s">
        <v>93</v>
      </c>
      <c r="B3" s="26" t="s">
        <v>102</v>
      </c>
      <c r="D3" s="9" t="s">
        <v>16</v>
      </c>
      <c r="E3" s="9">
        <v>99</v>
      </c>
      <c r="F3" s="2">
        <f>E3-(E3/100*10)</f>
        <v>89.1</v>
      </c>
      <c r="G3" s="2">
        <f>F3-(F3/100*10)</f>
        <v>80.19</v>
      </c>
      <c r="H3" s="2">
        <f>G3-(G3/100*15)</f>
        <v>68.161500000000004</v>
      </c>
      <c r="I3" s="2">
        <f>H3-(H3/100*15)</f>
        <v>57.937275</v>
      </c>
      <c r="J3" s="9"/>
      <c r="K3" s="2"/>
      <c r="L3" s="10" t="s">
        <v>1</v>
      </c>
      <c r="M3" s="10">
        <f ca="1">((J4/100*50)+(J5/100*25)+(J6/100*25))</f>
        <v>56.19047619047619</v>
      </c>
      <c r="N3" s="2"/>
      <c r="O3" s="25" t="s">
        <v>8</v>
      </c>
    </row>
    <row r="4" spans="1:15" ht="18" customHeight="1" x14ac:dyDescent="0.3">
      <c r="D4" s="10" t="s">
        <v>18</v>
      </c>
      <c r="E4" s="10">
        <v>38</v>
      </c>
      <c r="F4" s="2">
        <f>E4+(E4/100*10)</f>
        <v>41.8</v>
      </c>
      <c r="G4" s="2">
        <f>F4+(F4/100*10)</f>
        <v>45.98</v>
      </c>
      <c r="H4" s="2">
        <f>G4+(G4/100*6)+(G4/100*6)</f>
        <v>51.497599999999998</v>
      </c>
      <c r="I4" s="2">
        <f>H4+((H4/100)*15)</f>
        <v>59.222239999999999</v>
      </c>
      <c r="J4" s="10">
        <f ca="1">IF(B27&lt;30, FORECAST(E4, OFFSET(Strength_Normative_Data!$A$3, MATCH(E4, Strength_Normative_Data!$B$3:$B$5, 1)-1, 0, 2), OFFSET(Strength_Normative_Data!$B$3, MATCH(E4, Strength_Normative_Data!$B$3:$B$5, 1)-1, 0, 2)), FORECAST(E4, OFFSET(Strength_Normative_Data!$A$5, MATCH(E4, Strength_Normative_Data!$B$5:$B$16, -1)-1, 0, 2), OFFSET(Strength_Normative_Data!$B$5, MATCH(E4, Strength_Normative_Data!$B$5:$B$16, -1)-1, 0, 2)))</f>
        <v>66.666666666666657</v>
      </c>
      <c r="K4" s="2"/>
      <c r="L4" s="11" t="s">
        <v>2</v>
      </c>
      <c r="M4" s="11">
        <f>B27 - 9*M11</f>
        <v>31.981348684210527</v>
      </c>
      <c r="N4" s="2"/>
      <c r="O4" s="25" t="e">
        <f ca="1">A37</f>
        <v>#N/A</v>
      </c>
    </row>
    <row r="5" spans="1:15" ht="28.8" x14ac:dyDescent="0.3">
      <c r="D5" s="10" t="s">
        <v>19</v>
      </c>
      <c r="E5" s="10">
        <v>3.5</v>
      </c>
      <c r="F5" s="2">
        <f>E5+(E5/100*12)</f>
        <v>3.92</v>
      </c>
      <c r="G5" s="2">
        <f>F5+(F5/100*12)</f>
        <v>4.3903999999999996</v>
      </c>
      <c r="H5" s="2">
        <f>G5+(G5/100*1.2) + (G5/100* 13.5)</f>
        <v>5.0357887999999997</v>
      </c>
      <c r="I5" s="2">
        <f>H5+(H5/100*15)</f>
        <v>5.7911571199999994</v>
      </c>
      <c r="J5" s="10">
        <f ca="1">FORECAST(E5, OFFSET(Strength_Normative_Data!$O$3, MATCH(E5, Strength_Normative_Data!$P$3:$P$17, -1)-1, 0, 2), OFFSET(Strength_Normative_Data!$P$3, MATCH(E5, Strength_Normative_Data!$P$3:$P$17, -1)-1, 0, 2))</f>
        <v>40</v>
      </c>
      <c r="K5" s="2"/>
      <c r="L5" s="12" t="s">
        <v>29</v>
      </c>
      <c r="M5" s="12" t="e">
        <f ca="1">((J14/100*30)+(J15/100*25)+(J16/100*30)+(J17/100*15))</f>
        <v>#N/A</v>
      </c>
      <c r="N5" s="2"/>
      <c r="O5" s="2"/>
    </row>
    <row r="6" spans="1:15" x14ac:dyDescent="0.3">
      <c r="D6" s="10" t="s">
        <v>20</v>
      </c>
      <c r="E6" s="10">
        <v>38</v>
      </c>
      <c r="F6" s="2">
        <f>E6+(E6/100*12)</f>
        <v>42.56</v>
      </c>
      <c r="G6" s="2">
        <f>F6+(F6/100*12)</f>
        <v>47.667200000000001</v>
      </c>
      <c r="H6" s="2">
        <f>G6+(G6/100*1.2) + (G6/100* 13.5)</f>
        <v>54.674278399999999</v>
      </c>
      <c r="I6" s="2">
        <f>H6+(H6/100*15)</f>
        <v>62.875420159999997</v>
      </c>
      <c r="J6" s="10">
        <f ca="1">FORECAST(E6, OFFSET(Strength_Normative_Data!$J$3, MATCH(E6, Strength_Normative_Data!$K$3:$K$16, -1)-1, 0, 2), OFFSET(Strength_Normative_Data!$K$3, MATCH(E6, Strength_Normative_Data!$K$3:$K$16, -1)-1, 0, 2))</f>
        <v>51.428571428571438</v>
      </c>
      <c r="K6" s="2"/>
      <c r="L6" s="13" t="s">
        <v>4</v>
      </c>
      <c r="M6" s="13">
        <f>((J18/100*60)+(J19/100*40))</f>
        <v>18</v>
      </c>
      <c r="N6" s="2"/>
      <c r="O6" s="2"/>
    </row>
    <row r="7" spans="1:15" x14ac:dyDescent="0.3">
      <c r="D7" s="11" t="s">
        <v>22</v>
      </c>
      <c r="E7" s="11">
        <v>18</v>
      </c>
      <c r="F7" s="2">
        <f>E7+(E7/100*6)</f>
        <v>19.079999999999998</v>
      </c>
      <c r="G7" s="2">
        <f t="shared" ref="G7:I7" si="0">F7+(F7/100*6)</f>
        <v>20.224799999999998</v>
      </c>
      <c r="H7" s="2">
        <f t="shared" si="0"/>
        <v>21.438288</v>
      </c>
      <c r="I7" s="2">
        <f t="shared" si="0"/>
        <v>22.724585279999999</v>
      </c>
      <c r="J7" s="11"/>
      <c r="K7" s="2"/>
      <c r="L7" s="2"/>
      <c r="M7" s="2"/>
      <c r="N7" s="2"/>
      <c r="O7" s="2"/>
    </row>
    <row r="8" spans="1:15" ht="28.8" x14ac:dyDescent="0.3">
      <c r="D8" s="11" t="s">
        <v>23</v>
      </c>
      <c r="E8" s="11">
        <v>0.44</v>
      </c>
      <c r="F8" s="2">
        <f>E8+(E8/100*4)</f>
        <v>0.45760000000000001</v>
      </c>
      <c r="G8" s="2">
        <f t="shared" ref="G8:I8" si="1">F8+(F8/100*4)</f>
        <v>0.47590399999999999</v>
      </c>
      <c r="H8" s="2">
        <f t="shared" si="1"/>
        <v>0.49494016000000002</v>
      </c>
      <c r="I8" s="2">
        <f t="shared" si="1"/>
        <v>0.51473776640000002</v>
      </c>
      <c r="J8" s="11">
        <f xml:space="preserve">
IF(E8&lt;=0.4,0,
IF(E8&lt;=0.5,20*(E8-0.4)/0.1,
IF(E8&lt;=0.6,20+40*(E8-0.5)/0.1,
60+40*(MIN(E8,0.75)-0.6)/0.15)))</f>
        <v>7.9999999999999956</v>
      </c>
      <c r="K8" s="2"/>
      <c r="L8" s="2"/>
      <c r="M8" s="2"/>
      <c r="N8" s="2"/>
      <c r="O8" s="2"/>
    </row>
    <row r="9" spans="1:15" ht="28.8" x14ac:dyDescent="0.3">
      <c r="D9" s="11" t="s">
        <v>24</v>
      </c>
      <c r="E9" s="11">
        <v>4.4000000000000004</v>
      </c>
      <c r="F9" s="2"/>
      <c r="G9" s="2"/>
      <c r="H9" s="2"/>
      <c r="I9" s="2"/>
      <c r="J9" s="11"/>
      <c r="K9" s="2"/>
      <c r="L9" s="2"/>
      <c r="M9" s="2"/>
      <c r="N9" s="2"/>
      <c r="O9" s="2"/>
    </row>
    <row r="10" spans="1:15" ht="28.8" x14ac:dyDescent="0.3">
      <c r="D10" s="11" t="s">
        <v>25</v>
      </c>
      <c r="E10" s="11">
        <v>4.5999999999999996</v>
      </c>
      <c r="F10" s="2">
        <f>E10+(E10/100*5)</f>
        <v>4.83</v>
      </c>
      <c r="G10" s="2">
        <f t="shared" ref="G10:I10" si="2">F10+(F10/100*5)</f>
        <v>5.0715000000000003</v>
      </c>
      <c r="H10" s="2">
        <f t="shared" si="2"/>
        <v>5.325075</v>
      </c>
      <c r="I10" s="2">
        <f t="shared" si="2"/>
        <v>5.5913287499999997</v>
      </c>
      <c r="J10" s="11">
        <f xml:space="preserve">
IF(E10&lt;5.7,10*(E10/5.7),
IF(E10&lt;6.5,10+40*(E10-5.7)/0.8,
50+50*(MIN(E10,9)-6.5)/2.5))</f>
        <v>8.0701754385964914</v>
      </c>
      <c r="K10" s="2"/>
      <c r="L10" s="2" t="s">
        <v>89</v>
      </c>
      <c r="M10" s="2" t="s">
        <v>90</v>
      </c>
      <c r="N10" s="2"/>
      <c r="O10" s="2"/>
    </row>
    <row r="11" spans="1:15" x14ac:dyDescent="0.3">
      <c r="D11" s="11" t="s">
        <v>26</v>
      </c>
      <c r="E11" s="11">
        <v>0.6</v>
      </c>
      <c r="F11" s="2">
        <f>E11+(E11/100*14)</f>
        <v>0.68399999999999994</v>
      </c>
      <c r="G11" s="2">
        <f t="shared" ref="G11:I11" si="3">F11+(F11/100*14)</f>
        <v>0.7797599999999999</v>
      </c>
      <c r="H11" s="2">
        <f t="shared" si="3"/>
        <v>0.88892639999999989</v>
      </c>
      <c r="I11" s="2">
        <f t="shared" si="3"/>
        <v>1.0133760959999998</v>
      </c>
      <c r="J11" s="11">
        <f xml:space="preserve">
IF(E11&lt;1.6,10*(E11/1.6),
IF(E11&lt;3,10+40*(E11-1.6)/1.4,
50+50*(MIN(E11,7)-3)/4))</f>
        <v>3.7499999999999996</v>
      </c>
      <c r="K11" s="2"/>
      <c r="L11" s="2">
        <f>(0.3*K12)+(0.2*J8)+(0.15*J10)+(0.25*J11)+(0.1*J13)</f>
        <v>4.9792763157894733</v>
      </c>
      <c r="M11" s="2">
        <f xml:space="preserve">
IF(L11&lt;=10,1.5-0.1*L11,
IF(L11&lt;=60,0.5-0.02*(L11-10),
-0.5-0.03*(L11-60)))</f>
        <v>1.0020723684210526</v>
      </c>
      <c r="N11" s="2"/>
      <c r="O11" s="2"/>
    </row>
    <row r="12" spans="1:15" x14ac:dyDescent="0.3">
      <c r="D12" s="11" t="s">
        <v>27</v>
      </c>
      <c r="E12" s="11">
        <v>0.55000000000000004</v>
      </c>
      <c r="F12" s="2">
        <f>E12+(E12/100*6)</f>
        <v>0.58300000000000007</v>
      </c>
      <c r="G12" s="2">
        <f t="shared" ref="G12:I12" si="4">F12+(F12/100*6)</f>
        <v>0.61798000000000008</v>
      </c>
      <c r="H12" s="2">
        <f t="shared" si="4"/>
        <v>0.65505880000000005</v>
      </c>
      <c r="I12" s="2">
        <f t="shared" si="4"/>
        <v>0.69436232800000008</v>
      </c>
      <c r="J12" s="11">
        <f>E12*100</f>
        <v>55.000000000000007</v>
      </c>
      <c r="K12" s="11">
        <f xml:space="preserve">
IF(J12&lt;80,5*(J12/80),
IF(J12&lt;100,10+20*(J12-80)/20,
IF(J12&lt;130,30+25*(J12-100)/30,
IF(J12&lt;160,55+25*(J12-130)/30,
IF(J12&lt;200,80+20*(J12-160)/40,100)))))</f>
        <v>3.4375000000000004</v>
      </c>
      <c r="L12" s="2"/>
      <c r="M12" s="2"/>
      <c r="N12" s="2"/>
      <c r="O12" s="2"/>
    </row>
    <row r="13" spans="1:15" x14ac:dyDescent="0.3">
      <c r="D13" s="11" t="s">
        <v>28</v>
      </c>
      <c r="E13" s="11">
        <v>0.2</v>
      </c>
      <c r="F13" s="2">
        <f>E13+(E13/100*18)</f>
        <v>0.23600000000000002</v>
      </c>
      <c r="G13" s="2">
        <f t="shared" ref="G13:I13" si="5">F13+(F13/100*18)</f>
        <v>0.27848000000000001</v>
      </c>
      <c r="H13" s="2">
        <f t="shared" si="5"/>
        <v>0.32860640000000002</v>
      </c>
      <c r="I13" s="2">
        <f t="shared" si="5"/>
        <v>0.387755552</v>
      </c>
      <c r="J13" s="11">
        <f xml:space="preserve">
IF(E13&lt;1,10*(E13/1),
IF(E13&lt;3,10+40*(E13-1)/2,
50+50*(MIN(E13,10)-3)/7))</f>
        <v>2</v>
      </c>
      <c r="K13" s="2"/>
      <c r="L13" s="2"/>
      <c r="M13" s="2"/>
      <c r="N13" s="2"/>
      <c r="O13" s="2"/>
    </row>
    <row r="14" spans="1:15" x14ac:dyDescent="0.3">
      <c r="D14" s="12" t="s">
        <v>30</v>
      </c>
      <c r="E14" s="12">
        <v>1.45</v>
      </c>
      <c r="F14" s="2">
        <f>E14+(E14/100*6)</f>
        <v>1.5369999999999999</v>
      </c>
      <c r="G14" s="2">
        <f>F14+(F14/100*6)</f>
        <v>1.6292199999999999</v>
      </c>
      <c r="H14" s="2">
        <f>G14+(G14/100*7)</f>
        <v>1.7432653999999999</v>
      </c>
      <c r="I14" s="2">
        <f>H14+(H14/100*7)</f>
        <v>1.865293978</v>
      </c>
      <c r="J14" s="12" t="e">
        <f ca="1">IFERROR(FORECAST(E14, OFFSET(Mobility_Normative_Data!$A$3, MATCH(E14, Mobility_Normative_Data!$B$3:$B$17, -1)-1, 0, 2), OFFSET(Mobility_Normative_Data!$B$3, MATCH(E14, Mobility_Normative_Data!$B$3:$B$17, -1)-1, 0, 2)), INDEX(Mobility_Normative_Data!$A$3:$A$17, MATCH(E14, Mobility_Normative_Data!$B$3:$B$17, -1)))</f>
        <v>#N/A</v>
      </c>
      <c r="K14" s="2"/>
      <c r="L14" s="2"/>
      <c r="M14" s="2"/>
      <c r="N14" s="2"/>
      <c r="O14" s="2"/>
    </row>
    <row r="15" spans="1:15" ht="28.8" x14ac:dyDescent="0.3">
      <c r="D15" s="12" t="s">
        <v>31</v>
      </c>
      <c r="E15" s="12">
        <v>6</v>
      </c>
      <c r="F15" s="2">
        <f>E15+(E15/100*10)</f>
        <v>6.6</v>
      </c>
      <c r="G15" s="2">
        <f>F15+(F15/100*10)</f>
        <v>7.26</v>
      </c>
      <c r="H15" s="2">
        <f>G15+(G15/100*10)</f>
        <v>7.9859999999999998</v>
      </c>
      <c r="I15" s="2">
        <f>H15+(H15/100*10)</f>
        <v>8.7845999999999993</v>
      </c>
      <c r="J15" s="12">
        <f ca="1">FORECAST(E15, OFFSET(Mobility_Normative_Data!$E$3, MATCH(E15, Mobility_Normative_Data!$F$3:$F$18, 1)-1, 0, 2), OFFSET(Mobility_Normative_Data!$F$3, MATCH(E15, Mobility_Normative_Data!$F$3:$F$18, 1)-1, 0, 2))</f>
        <v>40</v>
      </c>
      <c r="K15" s="2"/>
      <c r="L15" s="2"/>
      <c r="M15" s="2"/>
      <c r="N15" s="2"/>
      <c r="O15" s="2"/>
    </row>
    <row r="16" spans="1:15" ht="28.8" x14ac:dyDescent="0.3">
      <c r="D16" s="12" t="s">
        <v>32</v>
      </c>
      <c r="E16" s="12">
        <v>45</v>
      </c>
      <c r="F16" s="2">
        <f>E16+(E16/100*20)</f>
        <v>54</v>
      </c>
      <c r="G16" s="2">
        <f>F16+(F16/100*20)</f>
        <v>64.8</v>
      </c>
      <c r="H16" s="2">
        <f t="shared" ref="H16:I16" si="6">G16+(G16/100*20)</f>
        <v>77.759999999999991</v>
      </c>
      <c r="I16" s="2">
        <f t="shared" si="6"/>
        <v>93.311999999999983</v>
      </c>
      <c r="J16" s="12">
        <f ca="1">FORECAST(E16, OFFSET(Mobility_Normative_Data!$I$3, MATCH(E16, Mobility_Normative_Data!$J$3:$J$17, -1)-1, 0, 2), OFFSET(Mobility_Normative_Data!$J$3, MATCH(E16, Mobility_Normative_Data!$J$3:$J$17, -1)-1, 0, 2))</f>
        <v>20</v>
      </c>
      <c r="K16" s="2"/>
      <c r="L16" s="2"/>
      <c r="M16" s="2"/>
      <c r="N16" s="2"/>
      <c r="O16" s="2"/>
    </row>
    <row r="17" spans="1:15" x14ac:dyDescent="0.3">
      <c r="D17" s="12" t="s">
        <v>33</v>
      </c>
      <c r="E17" s="12">
        <v>30</v>
      </c>
      <c r="F17" s="2">
        <f>E17+(E17/100*10)</f>
        <v>33</v>
      </c>
      <c r="G17" s="2">
        <f>F17+(F17/100*10)</f>
        <v>36.299999999999997</v>
      </c>
      <c r="H17" s="2">
        <f>G17+(G17/100*10)</f>
        <v>39.93</v>
      </c>
      <c r="I17" s="2">
        <f>H17+(H17/100*10)</f>
        <v>43.923000000000002</v>
      </c>
      <c r="J17" s="12">
        <f ca="1">FORECAST(E17, OFFSET(Mobility_Normative_Data!$M$3, MATCH(E17, Mobility_Normative_Data!$N$3:$N$17, -1)-1, 0, 2), OFFSET(Mobility_Normative_Data!$N$3, MATCH(E17, Mobility_Normative_Data!$N$3:$N$17, -1)-1, 0, 2))</f>
        <v>53.333333333333343</v>
      </c>
      <c r="K17" s="2"/>
      <c r="L17" s="2"/>
      <c r="M17" s="2"/>
      <c r="N17" s="2"/>
      <c r="O17" s="2"/>
    </row>
    <row r="18" spans="1:15" ht="28.8" x14ac:dyDescent="0.3">
      <c r="D18" s="13" t="s">
        <v>35</v>
      </c>
      <c r="E18" s="13">
        <v>1.5</v>
      </c>
      <c r="F18" s="2">
        <f>E18 +(-0.2)</f>
        <v>1.3</v>
      </c>
      <c r="G18" s="2">
        <f>F18 +(-0.2)</f>
        <v>1.1000000000000001</v>
      </c>
      <c r="H18" s="2">
        <f>G18 +(-0.3)</f>
        <v>0.8</v>
      </c>
      <c r="I18" s="2">
        <f>H18 +(-0.3)</f>
        <v>0.5</v>
      </c>
      <c r="J18" s="13">
        <f>MAX(18,B27-(E18*25))</f>
        <v>18</v>
      </c>
      <c r="K18" s="2"/>
      <c r="L18" s="2"/>
      <c r="M18" s="2"/>
      <c r="N18" s="2"/>
      <c r="O18" s="2"/>
    </row>
    <row r="19" spans="1:15" ht="28.8" x14ac:dyDescent="0.3">
      <c r="D19" s="13" t="s">
        <v>36</v>
      </c>
      <c r="E19" s="13">
        <v>1.8</v>
      </c>
      <c r="F19" s="2">
        <f>E19+(-0.2)</f>
        <v>1.6</v>
      </c>
      <c r="G19" s="2">
        <f>F19 +(-0.2)</f>
        <v>1.4000000000000001</v>
      </c>
      <c r="H19" s="2">
        <f>G19 +(-0.3)</f>
        <v>1.1000000000000001</v>
      </c>
      <c r="I19" s="2">
        <f>H19 +(-0.3)</f>
        <v>0.8</v>
      </c>
      <c r="J19" s="13">
        <f>MAX(18,B27-(E19*35))</f>
        <v>18</v>
      </c>
      <c r="K19" s="2"/>
      <c r="L19" s="2"/>
      <c r="M19" s="2"/>
      <c r="N19" s="2"/>
      <c r="O19" s="2"/>
    </row>
    <row r="23" spans="1:15" x14ac:dyDescent="0.3">
      <c r="A23" s="38" t="s">
        <v>37</v>
      </c>
      <c r="B23" s="38"/>
      <c r="C23" s="38"/>
      <c r="D23" s="38"/>
      <c r="E23" s="38"/>
      <c r="F23" s="38"/>
    </row>
    <row r="25" spans="1:15" x14ac:dyDescent="0.3">
      <c r="B25" t="s">
        <v>5</v>
      </c>
      <c r="C25" t="s">
        <v>6</v>
      </c>
      <c r="D25" t="s">
        <v>9</v>
      </c>
      <c r="E25" t="s">
        <v>10</v>
      </c>
      <c r="F25" t="s">
        <v>11</v>
      </c>
    </row>
    <row r="26" spans="1:15" x14ac:dyDescent="0.3">
      <c r="A26" t="s">
        <v>43</v>
      </c>
      <c r="B26" t="s">
        <v>44</v>
      </c>
    </row>
    <row r="27" spans="1:15" x14ac:dyDescent="0.3">
      <c r="A27" t="s">
        <v>7</v>
      </c>
      <c r="B27">
        <f>B2</f>
        <v>41</v>
      </c>
      <c r="C27">
        <f>B27+10</f>
        <v>51</v>
      </c>
      <c r="D27">
        <f>C27+10</f>
        <v>61</v>
      </c>
      <c r="E27">
        <f>D27+10</f>
        <v>71</v>
      </c>
      <c r="F27">
        <f>E27+10</f>
        <v>81</v>
      </c>
    </row>
    <row r="28" spans="1:15" x14ac:dyDescent="0.3">
      <c r="A28" t="s">
        <v>0</v>
      </c>
      <c r="B28" s="24">
        <f>M2</f>
        <v>8.3588235294117794</v>
      </c>
      <c r="C28">
        <f>B28+(B28/100*11.5)</f>
        <v>9.3200882352941345</v>
      </c>
      <c r="D28">
        <f>C28+(C28/100*32.2)</f>
        <v>12.321156647058846</v>
      </c>
      <c r="E28">
        <f>D28+(D28/100*32.2)</f>
        <v>16.288569087411794</v>
      </c>
      <c r="F28">
        <f>E28+(E28/100*32.2)</f>
        <v>21.533488333558392</v>
      </c>
    </row>
    <row r="29" spans="1:15" x14ac:dyDescent="0.3">
      <c r="A29" t="s">
        <v>1</v>
      </c>
      <c r="B29">
        <f ca="1">M3</f>
        <v>56.19047619047619</v>
      </c>
      <c r="C29">
        <f ca="1">B29+(B29/100*12.3)</f>
        <v>63.101904761904763</v>
      </c>
      <c r="D29">
        <f ca="1">C29+(C29/100*30.8)</f>
        <v>82.537291428571422</v>
      </c>
      <c r="E29">
        <f ca="1">D29+(D29/100*30.8)</f>
        <v>107.95877718857142</v>
      </c>
      <c r="F29">
        <f ca="1">E29+(E29/100*30.8)</f>
        <v>141.2100805626514</v>
      </c>
    </row>
    <row r="30" spans="1:15" x14ac:dyDescent="0.3">
      <c r="A30" t="s">
        <v>2</v>
      </c>
      <c r="B30">
        <f>M4</f>
        <v>31.981348684210527</v>
      </c>
      <c r="C30">
        <f>B30+(B30/100*5.5)</f>
        <v>33.740322861842102</v>
      </c>
      <c r="D30">
        <f>C30+(C30/100*11)</f>
        <v>37.451758376644733</v>
      </c>
      <c r="E30">
        <f>D30+(D30/100*11)</f>
        <v>41.571451798075657</v>
      </c>
      <c r="F30">
        <f>E30+(E30/100*11)</f>
        <v>46.144311495863981</v>
      </c>
    </row>
    <row r="31" spans="1:15" x14ac:dyDescent="0.3">
      <c r="A31" t="s">
        <v>3</v>
      </c>
      <c r="B31" t="e">
        <f ca="1">M5</f>
        <v>#N/A</v>
      </c>
      <c r="C31" t="e">
        <f ca="1">B31+(B31/100*9.9)</f>
        <v>#N/A</v>
      </c>
      <c r="D31" t="e">
        <f ca="1">C31+(C31/100*19.8)</f>
        <v>#N/A</v>
      </c>
      <c r="E31" t="e">
        <f ca="1">D31+(D31/100*19.8)</f>
        <v>#N/A</v>
      </c>
      <c r="F31" t="e">
        <f ca="1">E31+(E31/100*19.8)</f>
        <v>#N/A</v>
      </c>
    </row>
    <row r="32" spans="1:15" x14ac:dyDescent="0.3">
      <c r="A32" t="s">
        <v>4</v>
      </c>
      <c r="B32">
        <f>M6</f>
        <v>18</v>
      </c>
      <c r="C32">
        <f>B32+(B32/100*20)</f>
        <v>21.6</v>
      </c>
      <c r="D32">
        <f>C32+(C32/100*60)</f>
        <v>34.56</v>
      </c>
      <c r="E32">
        <f>D32+(D32/100*60)</f>
        <v>55.296000000000006</v>
      </c>
      <c r="F32">
        <f>E32+(E32/100*60)</f>
        <v>88.473600000000005</v>
      </c>
    </row>
    <row r="36" spans="1:11" x14ac:dyDescent="0.3">
      <c r="A36" t="s">
        <v>8</v>
      </c>
    </row>
    <row r="37" spans="1:11" x14ac:dyDescent="0.3">
      <c r="A37" s="1" t="e">
        <f ca="1">(B28/100*20)+(B29/100*20)+(B30/100*25)+(B31/100*20)+(B32/100*15)</f>
        <v>#N/A</v>
      </c>
    </row>
    <row r="42" spans="1:11" x14ac:dyDescent="0.3">
      <c r="B42" t="s">
        <v>12</v>
      </c>
      <c r="C42" t="s">
        <v>0</v>
      </c>
      <c r="D42" t="s">
        <v>12</v>
      </c>
      <c r="E42" t="s">
        <v>1</v>
      </c>
      <c r="F42" t="s">
        <v>12</v>
      </c>
      <c r="G42" t="s">
        <v>2</v>
      </c>
      <c r="H42" t="s">
        <v>12</v>
      </c>
      <c r="I42" t="s">
        <v>3</v>
      </c>
      <c r="J42" t="s">
        <v>12</v>
      </c>
      <c r="K42" t="s">
        <v>4</v>
      </c>
    </row>
    <row r="43" spans="1:11" x14ac:dyDescent="0.3">
      <c r="B43">
        <f>B27</f>
        <v>41</v>
      </c>
      <c r="C43">
        <f>B28</f>
        <v>8.3588235294117794</v>
      </c>
      <c r="D43">
        <f>B43</f>
        <v>41</v>
      </c>
      <c r="E43">
        <f ca="1">B29</f>
        <v>56.19047619047619</v>
      </c>
      <c r="F43">
        <f>B27</f>
        <v>41</v>
      </c>
      <c r="G43">
        <f>B30</f>
        <v>31.981348684210527</v>
      </c>
      <c r="H43">
        <f>B27</f>
        <v>41</v>
      </c>
      <c r="I43" t="e">
        <f ca="1">B31</f>
        <v>#N/A</v>
      </c>
      <c r="J43">
        <f>B27</f>
        <v>41</v>
      </c>
      <c r="K43">
        <f>B32</f>
        <v>18</v>
      </c>
    </row>
    <row r="44" spans="1:11" x14ac:dyDescent="0.3">
      <c r="B44">
        <f>C27</f>
        <v>51</v>
      </c>
      <c r="C44">
        <f>C28</f>
        <v>9.3200882352941345</v>
      </c>
      <c r="D44">
        <f>B44</f>
        <v>51</v>
      </c>
      <c r="E44">
        <f ca="1">C29</f>
        <v>63.101904761904763</v>
      </c>
      <c r="F44">
        <f>C27</f>
        <v>51</v>
      </c>
      <c r="G44">
        <f>C30</f>
        <v>33.740322861842102</v>
      </c>
      <c r="H44">
        <f>C27</f>
        <v>51</v>
      </c>
      <c r="I44" t="e">
        <f ca="1">C31</f>
        <v>#N/A</v>
      </c>
      <c r="J44">
        <f>C27</f>
        <v>51</v>
      </c>
      <c r="K44">
        <f>C32</f>
        <v>21.6</v>
      </c>
    </row>
    <row r="45" spans="1:11" x14ac:dyDescent="0.3">
      <c r="B45">
        <f>D27</f>
        <v>61</v>
      </c>
      <c r="C45">
        <f>D28</f>
        <v>12.321156647058846</v>
      </c>
      <c r="D45">
        <f>D27</f>
        <v>61</v>
      </c>
      <c r="E45">
        <f ca="1">D29</f>
        <v>82.537291428571422</v>
      </c>
      <c r="F45">
        <f>D27</f>
        <v>61</v>
      </c>
      <c r="G45">
        <f>D30</f>
        <v>37.451758376644733</v>
      </c>
      <c r="H45">
        <f>D27</f>
        <v>61</v>
      </c>
      <c r="I45" t="e">
        <f ca="1">D31</f>
        <v>#N/A</v>
      </c>
      <c r="J45">
        <f>D27</f>
        <v>61</v>
      </c>
      <c r="K45">
        <f>D32</f>
        <v>34.56</v>
      </c>
    </row>
    <row r="46" spans="1:11" x14ac:dyDescent="0.3">
      <c r="B46">
        <f>E27</f>
        <v>71</v>
      </c>
      <c r="C46">
        <f>E28</f>
        <v>16.288569087411794</v>
      </c>
      <c r="D46">
        <f>E27</f>
        <v>71</v>
      </c>
      <c r="E46">
        <f ca="1">E29</f>
        <v>107.95877718857142</v>
      </c>
      <c r="F46">
        <f>E27</f>
        <v>71</v>
      </c>
      <c r="G46">
        <f>E30</f>
        <v>41.571451798075657</v>
      </c>
      <c r="H46">
        <f>E27</f>
        <v>71</v>
      </c>
      <c r="I46" t="e">
        <f ca="1">E31</f>
        <v>#N/A</v>
      </c>
      <c r="J46">
        <f>E27</f>
        <v>71</v>
      </c>
      <c r="K46">
        <f>E32</f>
        <v>55.296000000000006</v>
      </c>
    </row>
    <row r="47" spans="1:11" x14ac:dyDescent="0.3">
      <c r="B47">
        <f>F27</f>
        <v>81</v>
      </c>
      <c r="C47">
        <f>F28</f>
        <v>21.533488333558392</v>
      </c>
      <c r="D47">
        <f>F27</f>
        <v>81</v>
      </c>
      <c r="E47">
        <f ca="1">F29</f>
        <v>141.2100805626514</v>
      </c>
      <c r="F47">
        <f>F27</f>
        <v>81</v>
      </c>
      <c r="G47" t="e">
        <f ca="1">F31</f>
        <v>#N/A</v>
      </c>
      <c r="H47">
        <f>F27</f>
        <v>81</v>
      </c>
      <c r="I47" t="e">
        <f ca="1">F31</f>
        <v>#N/A</v>
      </c>
      <c r="J47">
        <f>F27</f>
        <v>81</v>
      </c>
      <c r="K47">
        <f>F32</f>
        <v>88.473600000000005</v>
      </c>
    </row>
  </sheetData>
  <mergeCells count="1">
    <mergeCell ref="A23:F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C145-3AE3-44FA-B638-4DEA3B2EFC9F}">
  <dimension ref="A1:Z47"/>
  <sheetViews>
    <sheetView topLeftCell="D2" zoomScale="73" zoomScaleNormal="73" workbookViewId="0">
      <selection activeCell="N21" sqref="N21"/>
    </sheetView>
  </sheetViews>
  <sheetFormatPr defaultRowHeight="14.4" x14ac:dyDescent="0.3"/>
  <cols>
    <col min="1" max="1" width="22.6640625" customWidth="1"/>
    <col min="2" max="2" width="29.88671875" customWidth="1"/>
    <col min="3" max="3" width="16.5546875" customWidth="1"/>
    <col min="4" max="4" width="16.109375" customWidth="1"/>
    <col min="5" max="5" width="13.109375" customWidth="1"/>
    <col min="6" max="6" width="12.21875" customWidth="1"/>
    <col min="7" max="7" width="11.109375" customWidth="1"/>
    <col min="8" max="8" width="11" bestFit="1" customWidth="1"/>
    <col min="9" max="9" width="21.88671875" customWidth="1"/>
    <col min="10" max="10" width="15.5546875" customWidth="1"/>
    <col min="11" max="11" width="16" customWidth="1"/>
    <col min="12" max="12" width="13.6640625" customWidth="1"/>
    <col min="13" max="13" width="14.44140625" customWidth="1"/>
    <col min="14" max="14" width="11.77734375" customWidth="1"/>
    <col min="15" max="15" width="19.5546875" customWidth="1"/>
    <col min="17" max="17" width="18.77734375" customWidth="1"/>
    <col min="18" max="18" width="17" customWidth="1"/>
    <col min="20" max="20" width="29.21875" customWidth="1"/>
  </cols>
  <sheetData>
    <row r="1" spans="1:15" ht="28.8" x14ac:dyDescent="0.3">
      <c r="A1" s="8" t="s">
        <v>91</v>
      </c>
      <c r="B1" s="8" t="s">
        <v>120</v>
      </c>
      <c r="D1" s="2" t="s">
        <v>14</v>
      </c>
      <c r="E1" s="2"/>
      <c r="F1" s="2" t="s">
        <v>38</v>
      </c>
      <c r="G1" s="2" t="s">
        <v>39</v>
      </c>
      <c r="H1" s="2" t="s">
        <v>40</v>
      </c>
      <c r="I1" s="2" t="s">
        <v>41</v>
      </c>
      <c r="J1" s="2"/>
      <c r="K1" s="2"/>
      <c r="L1" s="2"/>
      <c r="M1" s="2" t="s">
        <v>42</v>
      </c>
      <c r="N1" s="2"/>
      <c r="O1" s="2"/>
    </row>
    <row r="2" spans="1:15" ht="28.8" x14ac:dyDescent="0.3">
      <c r="A2" s="8" t="s">
        <v>12</v>
      </c>
      <c r="B2" s="8">
        <v>50</v>
      </c>
      <c r="D2" s="9" t="s">
        <v>15</v>
      </c>
      <c r="E2" s="9">
        <v>36</v>
      </c>
      <c r="F2" s="2">
        <f>E2+(E2/100*10)</f>
        <v>39.6</v>
      </c>
      <c r="G2" s="2">
        <f>F2+(F2/100*10)</f>
        <v>43.56</v>
      </c>
      <c r="H2" s="2">
        <f>G2+(G2/100*10)</f>
        <v>47.916000000000004</v>
      </c>
      <c r="I2" s="2">
        <f>H2+(H2/100*15)</f>
        <v>55.103400000000008</v>
      </c>
      <c r="J2" s="9"/>
      <c r="K2" s="2"/>
      <c r="L2" s="9" t="s">
        <v>0</v>
      </c>
      <c r="M2" s="28">
        <f>B27+ ((1 -((E2 / 26.6) * 0.7 )-((E3/ 100) * 0.3 )) * 100)</f>
        <v>24.663157894736859</v>
      </c>
      <c r="N2" s="2"/>
      <c r="O2" s="2"/>
    </row>
    <row r="3" spans="1:15" ht="172.8" x14ac:dyDescent="0.3">
      <c r="A3" s="8" t="s">
        <v>93</v>
      </c>
      <c r="B3" s="2" t="s">
        <v>121</v>
      </c>
      <c r="D3" s="9" t="s">
        <v>16</v>
      </c>
      <c r="E3" s="9">
        <v>102</v>
      </c>
      <c r="F3" s="2">
        <f>E3-(E3/100*10)</f>
        <v>91.8</v>
      </c>
      <c r="G3" s="2">
        <f>F3-(F3/100*10)</f>
        <v>82.62</v>
      </c>
      <c r="H3" s="2">
        <f>G3-(G3/100*15)</f>
        <v>70.227000000000004</v>
      </c>
      <c r="I3" s="2">
        <f>H3-(H3/100*15)</f>
        <v>59.692950000000003</v>
      </c>
      <c r="J3" s="9"/>
      <c r="K3" s="2"/>
      <c r="L3" s="10" t="s">
        <v>1</v>
      </c>
      <c r="M3" s="10">
        <f ca="1">((J4/100*50)+(J5/100*25)+(J6/100*25))</f>
        <v>43.333333333333329</v>
      </c>
      <c r="N3" s="2"/>
      <c r="O3" s="25" t="s">
        <v>8</v>
      </c>
    </row>
    <row r="4" spans="1:15" ht="18" customHeight="1" x14ac:dyDescent="0.3">
      <c r="D4" s="10" t="s">
        <v>18</v>
      </c>
      <c r="E4" s="10">
        <v>30</v>
      </c>
      <c r="F4" s="2">
        <f>E4+(E4/100*10)</f>
        <v>33</v>
      </c>
      <c r="G4" s="2">
        <f>F4+(F4/100*10)</f>
        <v>36.299999999999997</v>
      </c>
      <c r="H4" s="2">
        <f>G4+(G4/100*6)+(G4/100*6)</f>
        <v>40.655999999999992</v>
      </c>
      <c r="I4" s="2">
        <f>H4+((H4/100)*15)</f>
        <v>46.75439999999999</v>
      </c>
      <c r="J4" s="10">
        <f ca="1">IF(B27&lt;30, FORECAST(E4, OFFSET(Strength_Normative_Data!$A$3, MATCH(E4, Strength_Normative_Data!$C$3:$C$5, 1)-1, 0, 2), OFFSET(Strength_Normative_Data!$C$3, MATCH(E4, Strength_Normative_Data!$C$3:$C$5, 1)-1, 0, 2)), FORECAST(E4, OFFSET(Strength_Normative_Data!$A$5, MATCH(E4, Strength_Normative_Data!$C$5:$C$16, -1)-1, 0, 2), OFFSET(Strength_Normative_Data!$C$5, MATCH(E4, Strength_Normative_Data!$C$5:$C$16, -1)-1, 0, 2)))</f>
        <v>40</v>
      </c>
      <c r="K4" s="2"/>
      <c r="L4" s="11" t="s">
        <v>2</v>
      </c>
      <c r="M4" s="11">
        <f>B27 - 9*M11</f>
        <v>47.176977443609019</v>
      </c>
      <c r="N4" s="2"/>
      <c r="O4" s="25" t="e">
        <f ca="1">A37</f>
        <v>#N/A</v>
      </c>
    </row>
    <row r="5" spans="1:15" ht="28.8" x14ac:dyDescent="0.3">
      <c r="D5" s="10" t="s">
        <v>19</v>
      </c>
      <c r="E5" s="10">
        <v>2.6</v>
      </c>
      <c r="F5" s="2">
        <f>E5+(E5/100*12)</f>
        <v>2.9119999999999999</v>
      </c>
      <c r="G5" s="2">
        <f>F5+(F5/100*12)</f>
        <v>3.2614399999999999</v>
      </c>
      <c r="H5" s="2">
        <f>G5+(G5/100*1.2) + (G5/100* 13.5)</f>
        <v>3.7408716799999997</v>
      </c>
      <c r="I5" s="2">
        <f>H5+(H5/100*15)</f>
        <v>4.3020024320000001</v>
      </c>
      <c r="J5" s="10">
        <f ca="1">FORECAST(E5, OFFSET(Strength_Normative_Data!$O$3, MATCH(E5, Strength_Normative_Data!$Q$3:$Q$17, -1)-1, 0, 2), OFFSET(Strength_Normative_Data!$Q$3, MATCH(E5, Strength_Normative_Data!$Q$3:$Q$17, -1)-1, 0, 2))</f>
        <v>43.333333333333329</v>
      </c>
      <c r="K5" s="2"/>
      <c r="L5" s="12" t="s">
        <v>29</v>
      </c>
      <c r="M5" s="12" t="e">
        <f ca="1">((J14/100*30)+(J15/100*25)+(J16/100*30)+(J17/100*15))</f>
        <v>#N/A</v>
      </c>
      <c r="N5" s="2"/>
      <c r="O5" s="2"/>
    </row>
    <row r="6" spans="1:15" x14ac:dyDescent="0.3">
      <c r="D6" s="10" t="s">
        <v>20</v>
      </c>
      <c r="E6" s="10">
        <v>24</v>
      </c>
      <c r="F6" s="2">
        <f>E6+(E6/100*12)</f>
        <v>26.88</v>
      </c>
      <c r="G6" s="2">
        <f>F6+(F6/100*12)</f>
        <v>30.105599999999999</v>
      </c>
      <c r="H6" s="2">
        <f>G6+(G6/100*1.2) + (G6/100* 13.5)</f>
        <v>34.531123199999996</v>
      </c>
      <c r="I6" s="2">
        <f>H6+(H6/100*15)</f>
        <v>39.710791679999993</v>
      </c>
      <c r="J6" s="10">
        <f ca="1">FORECAST(E6, OFFSET(Strength_Normative_Data!$J$3, MATCH(E6, Strength_Normative_Data!$L$3:$L$16, -1)-1, 0, 2), OFFSET(Strength_Normative_Data!$L$3, MATCH(E6, Strength_Normative_Data!$L$3:$L$16, -1)-1, 0, 2))</f>
        <v>50</v>
      </c>
      <c r="K6" s="2"/>
      <c r="L6" s="13" t="s">
        <v>4</v>
      </c>
      <c r="M6" s="13">
        <f>((J18/100*60)+(J19/100*40))</f>
        <v>18</v>
      </c>
      <c r="N6" s="2"/>
      <c r="O6" s="2"/>
    </row>
    <row r="7" spans="1:15" x14ac:dyDescent="0.3">
      <c r="D7" s="11" t="s">
        <v>22</v>
      </c>
      <c r="E7" s="11">
        <v>25</v>
      </c>
      <c r="F7" s="2">
        <f>E7+(E7/100*6)</f>
        <v>26.5</v>
      </c>
      <c r="G7" s="2">
        <f t="shared" ref="G7:I7" si="0">F7+(F7/100*6)</f>
        <v>28.09</v>
      </c>
      <c r="H7" s="2">
        <f t="shared" si="0"/>
        <v>29.775400000000001</v>
      </c>
      <c r="I7" s="2">
        <f t="shared" si="0"/>
        <v>31.561924000000001</v>
      </c>
      <c r="J7" s="11"/>
      <c r="K7" s="2"/>
      <c r="L7" s="2"/>
      <c r="M7" s="2"/>
      <c r="N7" s="2"/>
      <c r="O7" s="2"/>
    </row>
    <row r="8" spans="1:15" ht="28.8" x14ac:dyDescent="0.3">
      <c r="D8" s="11" t="s">
        <v>23</v>
      </c>
      <c r="E8" s="11">
        <v>0.48</v>
      </c>
      <c r="F8" s="2">
        <f>E8+(E8/100*4)</f>
        <v>0.49919999999999998</v>
      </c>
      <c r="G8" s="2">
        <f t="shared" ref="G8:I8" si="1">F8+(F8/100*4)</f>
        <v>0.51916799999999996</v>
      </c>
      <c r="H8" s="2">
        <f t="shared" si="1"/>
        <v>0.53993471999999998</v>
      </c>
      <c r="I8" s="2">
        <f t="shared" si="1"/>
        <v>0.56153210879999993</v>
      </c>
      <c r="J8" s="11">
        <f xml:space="preserve">
IF(E8&lt;=0.4,0,
IF(E8&lt;=0.5,20*(E8-0.4)/0.1,
IF(E8&lt;=0.6,20+40*(E8-0.5)/0.1,
60+40*(MIN(E8,0.75)-0.6)/0.15)))</f>
        <v>15.999999999999991</v>
      </c>
      <c r="K8" s="2"/>
      <c r="L8" s="2"/>
      <c r="M8" s="2"/>
      <c r="N8" s="2"/>
      <c r="O8" s="2"/>
    </row>
    <row r="9" spans="1:15" ht="28.8" x14ac:dyDescent="0.3">
      <c r="D9" s="11" t="s">
        <v>24</v>
      </c>
      <c r="E9" s="11">
        <v>5.5</v>
      </c>
      <c r="F9" s="2"/>
      <c r="G9" s="2"/>
      <c r="H9" s="2"/>
      <c r="I9" s="2"/>
      <c r="J9" s="11"/>
      <c r="K9" s="2"/>
      <c r="L9" s="2"/>
      <c r="M9" s="2"/>
      <c r="N9" s="2"/>
      <c r="O9" s="2"/>
    </row>
    <row r="10" spans="1:15" ht="28.8" x14ac:dyDescent="0.3">
      <c r="D10" s="11" t="s">
        <v>25</v>
      </c>
      <c r="E10" s="11">
        <v>5.6</v>
      </c>
      <c r="F10" s="2">
        <f>E10+(E10/100*5)</f>
        <v>5.88</v>
      </c>
      <c r="G10" s="2">
        <f t="shared" ref="G10:I10" si="2">F10+(F10/100*5)</f>
        <v>6.1739999999999995</v>
      </c>
      <c r="H10" s="2">
        <f t="shared" si="2"/>
        <v>6.4826999999999995</v>
      </c>
      <c r="I10" s="2">
        <f t="shared" si="2"/>
        <v>6.8068349999999995</v>
      </c>
      <c r="J10" s="11">
        <f xml:space="preserve">
IF(E10&lt;5.7,10*(E10/5.7),
IF(E10&lt;6.5,10+40*(E10-5.7)/0.8,
50+50*(MIN(E10,9)-6.5)/2.5))</f>
        <v>9.8245614035087705</v>
      </c>
      <c r="K10" s="2"/>
      <c r="L10" s="2" t="s">
        <v>89</v>
      </c>
      <c r="M10" s="2" t="s">
        <v>90</v>
      </c>
      <c r="N10" s="2"/>
      <c r="O10" s="2"/>
    </row>
    <row r="11" spans="1:15" x14ac:dyDescent="0.3">
      <c r="D11" s="11" t="s">
        <v>26</v>
      </c>
      <c r="E11" s="11">
        <v>1.9</v>
      </c>
      <c r="F11" s="2">
        <f>E11+(E11/100*14)</f>
        <v>2.1659999999999999</v>
      </c>
      <c r="G11" s="2">
        <f t="shared" ref="G11:I11" si="3">F11+(F11/100*14)</f>
        <v>2.4692400000000001</v>
      </c>
      <c r="H11" s="2">
        <f t="shared" si="3"/>
        <v>2.8149336000000003</v>
      </c>
      <c r="I11" s="2">
        <f t="shared" si="3"/>
        <v>3.2090243040000002</v>
      </c>
      <c r="J11" s="11">
        <f xml:space="preserve">
IF(E11&lt;1.6,10*(E11/1.6),
IF(E11&lt;3,10+40*(E11-1.6)/1.4,
50+50*(MIN(E11,7)-3)/4))</f>
        <v>18.571428571428569</v>
      </c>
      <c r="K11" s="2"/>
      <c r="L11" s="2">
        <f>(0.3*K12)+(0.2*J8)+(0.15*J10)+(0.25*J11)+(0.1*J13)</f>
        <v>19.316541353383457</v>
      </c>
      <c r="M11" s="2">
        <f xml:space="preserve">
IF(L11&lt;=10,1.5-0.1*L11,
IF(L11&lt;=60,0.5-0.02*(L11-10),
-0.5-0.03*(L11-60)))</f>
        <v>0.31366917293233088</v>
      </c>
      <c r="N11" s="2"/>
      <c r="O11" s="2"/>
    </row>
    <row r="12" spans="1:15" x14ac:dyDescent="0.3">
      <c r="D12" s="11" t="s">
        <v>27</v>
      </c>
      <c r="E12" s="11">
        <v>0.9</v>
      </c>
      <c r="F12" s="2">
        <f>E12+(E12/100*6)</f>
        <v>0.95400000000000007</v>
      </c>
      <c r="G12" s="2">
        <f t="shared" ref="G12:I12" si="4">F12+(F12/100*6)</f>
        <v>1.0112400000000001</v>
      </c>
      <c r="H12" s="2">
        <f t="shared" si="4"/>
        <v>1.0719144</v>
      </c>
      <c r="I12" s="2">
        <f t="shared" si="4"/>
        <v>1.136229264</v>
      </c>
      <c r="J12" s="11">
        <f>E12*100</f>
        <v>90</v>
      </c>
      <c r="K12" s="11">
        <f xml:space="preserve">
IF(J12&lt;80,5*(J12/80),
IF(J12&lt;100,10+20*(J12-80)/20,
IF(J12&lt;130,30+25*(J12-100)/30,
IF(J12&lt;160,55+25*(J12-130)/30,
IF(J12&lt;200,80+20*(J12-160)/40,100)))))</f>
        <v>20</v>
      </c>
      <c r="L12" s="2"/>
      <c r="M12" s="2"/>
      <c r="N12" s="2"/>
      <c r="O12" s="2"/>
    </row>
    <row r="13" spans="1:15" x14ac:dyDescent="0.3">
      <c r="D13" s="11" t="s">
        <v>28</v>
      </c>
      <c r="E13" s="11">
        <v>2.5</v>
      </c>
      <c r="F13" s="2">
        <f>E13+(E13/100*18)</f>
        <v>2.95</v>
      </c>
      <c r="G13" s="2">
        <f t="shared" ref="G13:I13" si="5">F13+(F13/100*18)</f>
        <v>3.4810000000000003</v>
      </c>
      <c r="H13" s="2">
        <f t="shared" si="5"/>
        <v>4.1075800000000005</v>
      </c>
      <c r="I13" s="2">
        <f t="shared" si="5"/>
        <v>4.8469444000000008</v>
      </c>
      <c r="J13" s="11">
        <f xml:space="preserve">
IF(E13&lt;1,10*(E13/1),
IF(E13&lt;3,10+40*(E13-1)/2,
50+50*(MIN(E13,10)-3)/7))</f>
        <v>40</v>
      </c>
      <c r="K13" s="2"/>
      <c r="L13" s="2"/>
      <c r="M13" s="2"/>
      <c r="N13" s="2"/>
      <c r="O13" s="2"/>
    </row>
    <row r="14" spans="1:15" x14ac:dyDescent="0.3">
      <c r="D14" s="12" t="s">
        <v>30</v>
      </c>
      <c r="E14" s="12">
        <v>1.4</v>
      </c>
      <c r="F14" s="2">
        <f>E14-(E14/100*6)</f>
        <v>1.3159999999999998</v>
      </c>
      <c r="G14" s="2">
        <f>F14+(F14/100*6)</f>
        <v>1.3949599999999998</v>
      </c>
      <c r="H14" s="2">
        <f>G14+(G14/100*7)</f>
        <v>1.4926071999999997</v>
      </c>
      <c r="I14" s="2">
        <f>H14+(H14/100*7)</f>
        <v>1.5970897039999996</v>
      </c>
      <c r="J14" s="12" t="e">
        <f ca="1">IFERROR(FORECAST(E14, OFFSET(Mobility_Normative_Data!$A$3, MATCH(E14, Mobility_Normative_Data!$C$3:$C$17, -1)-1, 0, 2), OFFSET(Mobility_Normative_Data!$C$3, MATCH(E14, Mobility_Normative_Data!$C$3:$C$17, -1)-1, 0, 2)), INDEX(Mobility_Normative_Data!$A$3:$A$17, MATCH(E14, Mobility_Normative_Data!$C$3:$C$17, -1)))</f>
        <v>#N/A</v>
      </c>
      <c r="K14" s="2"/>
      <c r="L14" s="2"/>
      <c r="M14" s="2"/>
      <c r="N14" s="2"/>
      <c r="O14" s="2"/>
    </row>
    <row r="15" spans="1:15" ht="28.8" x14ac:dyDescent="0.3">
      <c r="D15" s="12" t="s">
        <v>31</v>
      </c>
      <c r="E15" s="12">
        <v>6.2</v>
      </c>
      <c r="F15" s="2">
        <f>E15+(E15/100*10)</f>
        <v>6.82</v>
      </c>
      <c r="G15" s="2">
        <f>F15+(F15/100*10)</f>
        <v>7.5020000000000007</v>
      </c>
      <c r="H15" s="2">
        <f>G15+(G15/100*10)</f>
        <v>8.2522000000000002</v>
      </c>
      <c r="I15" s="2">
        <f>H15+(H15/100*10)</f>
        <v>9.07742</v>
      </c>
      <c r="J15" s="12">
        <f ca="1">FORECAST(E15, OFFSET(Mobility_Normative_Data!$E$3, MATCH(E15, Mobility_Normative_Data!$F$3:$F$18, 1)-1, 0, 2), OFFSET(Mobility_Normative_Data!$F$3, MATCH(E15, Mobility_Normative_Data!$F$3:$F$18, 1)-1, 0, 2))</f>
        <v>42</v>
      </c>
      <c r="K15" s="2"/>
      <c r="L15" s="2"/>
      <c r="M15" s="2"/>
      <c r="N15" s="2"/>
      <c r="O15" s="2"/>
    </row>
    <row r="16" spans="1:15" ht="28.8" x14ac:dyDescent="0.3">
      <c r="D16" s="12" t="s">
        <v>32</v>
      </c>
      <c r="E16" s="12">
        <v>30</v>
      </c>
      <c r="F16" s="2">
        <f>E16-(E16/100*20)</f>
        <v>24</v>
      </c>
      <c r="G16" s="2">
        <f>F16+(F16/100*20)</f>
        <v>28.8</v>
      </c>
      <c r="H16" s="2">
        <f t="shared" ref="H16:I16" si="6">G16+(G16/100*20)</f>
        <v>34.56</v>
      </c>
      <c r="I16" s="2">
        <f t="shared" si="6"/>
        <v>41.472000000000001</v>
      </c>
      <c r="J16" s="12">
        <f ca="1">FORECAST(E16, OFFSET(Mobility_Normative_Data!$I$3, MATCH(E16, Mobility_Normative_Data!$J$3:$J$17, -1)-1, 0, 2), OFFSET(Mobility_Normative_Data!$J$3, MATCH(E16, Mobility_Normative_Data!$J$3:$J$17, -1)-1, 0, 2))</f>
        <v>60</v>
      </c>
      <c r="K16" s="2"/>
      <c r="L16" s="2"/>
      <c r="M16" s="2"/>
      <c r="N16" s="2"/>
      <c r="O16" s="2"/>
    </row>
    <row r="17" spans="1:15" x14ac:dyDescent="0.3">
      <c r="D17" s="12" t="s">
        <v>33</v>
      </c>
      <c r="E17" s="12">
        <v>22</v>
      </c>
      <c r="F17" s="2">
        <f>E17-(E17/100*10)</f>
        <v>19.8</v>
      </c>
      <c r="G17" s="2">
        <f>F17+(F17/100*10)</f>
        <v>21.78</v>
      </c>
      <c r="H17" s="2">
        <f>G17+(G17/100*10)</f>
        <v>23.958000000000002</v>
      </c>
      <c r="I17" s="2">
        <f>H17+(H17/100*10)</f>
        <v>26.353800000000003</v>
      </c>
      <c r="J17" s="12">
        <f ca="1">FORECAST(E17, OFFSET(Mobility_Normative_Data!$M$3, MATCH(E17, Mobility_Normative_Data!$N$3:$N$17, -1)-1, 0, 2), OFFSET(Mobility_Normative_Data!$N$3, MATCH(E17, Mobility_Normative_Data!$N$3:$N$17, -1)-1, 0, 2))</f>
        <v>80</v>
      </c>
      <c r="K17" s="2"/>
      <c r="L17" s="2"/>
      <c r="M17" s="2"/>
      <c r="N17" s="2"/>
      <c r="O17" s="2"/>
    </row>
    <row r="18" spans="1:15" ht="28.8" x14ac:dyDescent="0.3">
      <c r="D18" s="13" t="s">
        <v>35</v>
      </c>
      <c r="E18" s="13">
        <v>2.2000000000000002</v>
      </c>
      <c r="F18" s="2">
        <f>E18 +(-0.2)</f>
        <v>2</v>
      </c>
      <c r="G18" s="2">
        <f>F18 +(-0.2)</f>
        <v>1.8</v>
      </c>
      <c r="H18" s="2">
        <f>G18 +(-0.3)</f>
        <v>1.5</v>
      </c>
      <c r="I18" s="2">
        <f>H18 +(-0.3)</f>
        <v>1.2</v>
      </c>
      <c r="J18" s="13">
        <f>MAX(18,B27-(E18*25))</f>
        <v>18</v>
      </c>
      <c r="K18" s="2"/>
      <c r="L18" s="2"/>
      <c r="M18" s="2"/>
      <c r="N18" s="2"/>
      <c r="O18" s="2"/>
    </row>
    <row r="19" spans="1:15" ht="28.8" x14ac:dyDescent="0.3">
      <c r="D19" s="13" t="s">
        <v>36</v>
      </c>
      <c r="E19" s="13">
        <v>2.5</v>
      </c>
      <c r="F19" s="2">
        <f>E19+(-0.2)</f>
        <v>2.2999999999999998</v>
      </c>
      <c r="G19" s="2">
        <f>F19 +(-0.2)</f>
        <v>2.0999999999999996</v>
      </c>
      <c r="H19" s="2">
        <f>G19 +(-0.3)</f>
        <v>1.7999999999999996</v>
      </c>
      <c r="I19" s="2">
        <f>H19 +(-0.3)</f>
        <v>1.4999999999999996</v>
      </c>
      <c r="J19" s="13">
        <f>MAX(18,B27-(E19*35))</f>
        <v>18</v>
      </c>
      <c r="K19" s="2"/>
      <c r="L19" s="2"/>
      <c r="M19" s="2"/>
      <c r="N19" s="2"/>
      <c r="O19" s="2"/>
    </row>
    <row r="23" spans="1:15" x14ac:dyDescent="0.3">
      <c r="A23" s="38" t="s">
        <v>37</v>
      </c>
      <c r="B23" s="38"/>
      <c r="C23" s="38"/>
      <c r="D23" s="38"/>
      <c r="E23" s="38"/>
      <c r="F23" s="38"/>
    </row>
    <row r="25" spans="1:15" x14ac:dyDescent="0.3">
      <c r="B25" t="s">
        <v>5</v>
      </c>
      <c r="C25" t="s">
        <v>6</v>
      </c>
      <c r="D25" t="s">
        <v>9</v>
      </c>
      <c r="E25" t="s">
        <v>10</v>
      </c>
      <c r="F25" t="s">
        <v>11</v>
      </c>
    </row>
    <row r="26" spans="1:15" x14ac:dyDescent="0.3">
      <c r="A26" t="s">
        <v>43</v>
      </c>
      <c r="B26" t="s">
        <v>44</v>
      </c>
    </row>
    <row r="27" spans="1:15" x14ac:dyDescent="0.3">
      <c r="A27" t="s">
        <v>7</v>
      </c>
      <c r="B27">
        <f>B2</f>
        <v>50</v>
      </c>
      <c r="C27">
        <f>B27+10</f>
        <v>60</v>
      </c>
      <c r="D27">
        <f>C27+10</f>
        <v>70</v>
      </c>
      <c r="E27">
        <f>D27+10</f>
        <v>80</v>
      </c>
      <c r="F27">
        <f>E27+10</f>
        <v>90</v>
      </c>
    </row>
    <row r="28" spans="1:15" x14ac:dyDescent="0.3">
      <c r="A28" t="s">
        <v>0</v>
      </c>
      <c r="B28" s="24">
        <f>M2</f>
        <v>24.663157894736859</v>
      </c>
      <c r="C28">
        <f>B28+(B28/100*11.5)</f>
        <v>27.499421052631597</v>
      </c>
      <c r="D28">
        <f>C28+(C28/100*32.2)</f>
        <v>36.354234631578969</v>
      </c>
      <c r="E28">
        <f>D28+(D28/100*32.2)</f>
        <v>48.060298182947399</v>
      </c>
      <c r="F28">
        <f>E28+(E28/100*32.2)</f>
        <v>63.535714197856464</v>
      </c>
    </row>
    <row r="29" spans="1:15" x14ac:dyDescent="0.3">
      <c r="A29" t="s">
        <v>1</v>
      </c>
      <c r="B29">
        <f ca="1">M3</f>
        <v>43.333333333333329</v>
      </c>
      <c r="C29">
        <f ca="1">B29+(B29/100*12.3)</f>
        <v>48.663333333333327</v>
      </c>
      <c r="D29">
        <f ca="1">C29+(C29/100*30.8)</f>
        <v>63.651639999999993</v>
      </c>
      <c r="E29">
        <f ca="1">D29+(D29/100*30.8)</f>
        <v>83.256345119999992</v>
      </c>
      <c r="F29">
        <f ca="1">E29+(E29/100*30.8)</f>
        <v>108.89929941695999</v>
      </c>
    </row>
    <row r="30" spans="1:15" x14ac:dyDescent="0.3">
      <c r="A30" t="s">
        <v>2</v>
      </c>
      <c r="B30">
        <f>M4</f>
        <v>47.176977443609019</v>
      </c>
      <c r="C30">
        <f>B30+(B30/100*5.5)</f>
        <v>49.771711203007513</v>
      </c>
      <c r="D30">
        <f>C30+(C30/100*11)</f>
        <v>55.246599435338339</v>
      </c>
      <c r="E30">
        <f>D30+(D30/100*11)</f>
        <v>61.323725373225557</v>
      </c>
      <c r="F30">
        <f>E30+(E30/100*11)</f>
        <v>68.069335164280375</v>
      </c>
    </row>
    <row r="31" spans="1:15" x14ac:dyDescent="0.3">
      <c r="A31" t="s">
        <v>3</v>
      </c>
      <c r="B31" t="e">
        <f ca="1">M5</f>
        <v>#N/A</v>
      </c>
      <c r="C31" t="e">
        <f ca="1">B31+(B31/100*9.9)</f>
        <v>#N/A</v>
      </c>
      <c r="D31" t="e">
        <f ca="1">C31+(C31/100*19.8)</f>
        <v>#N/A</v>
      </c>
      <c r="E31" t="e">
        <f ca="1">D31+(D31/100*19.8)</f>
        <v>#N/A</v>
      </c>
      <c r="F31" t="e">
        <f ca="1">E31+(E31/100*19.8)</f>
        <v>#N/A</v>
      </c>
    </row>
    <row r="32" spans="1:15" x14ac:dyDescent="0.3">
      <c r="A32" t="s">
        <v>4</v>
      </c>
      <c r="B32">
        <f>M6</f>
        <v>18</v>
      </c>
      <c r="C32">
        <f>B32+(B32/100*20)</f>
        <v>21.6</v>
      </c>
      <c r="D32">
        <f>C32+(C32/100*60)</f>
        <v>34.56</v>
      </c>
      <c r="E32">
        <f>D32+(D32/100*60)</f>
        <v>55.296000000000006</v>
      </c>
      <c r="F32">
        <f>E32+(E32/100*60)</f>
        <v>88.473600000000005</v>
      </c>
    </row>
    <row r="35" spans="1:26" ht="28.8" x14ac:dyDescent="0.3">
      <c r="M35" s="2" t="s">
        <v>103</v>
      </c>
      <c r="N35" s="2" t="s">
        <v>106</v>
      </c>
      <c r="O35" s="2"/>
      <c r="P35" s="2" t="s">
        <v>103</v>
      </c>
      <c r="Q35" s="2" t="s">
        <v>105</v>
      </c>
      <c r="R35" s="2"/>
      <c r="S35" s="2" t="s">
        <v>103</v>
      </c>
      <c r="T35" s="2" t="s">
        <v>107</v>
      </c>
      <c r="U35" s="2"/>
      <c r="V35" s="2" t="s">
        <v>103</v>
      </c>
      <c r="W35" s="2" t="s">
        <v>108</v>
      </c>
      <c r="X35" s="2"/>
      <c r="Y35" s="2" t="s">
        <v>103</v>
      </c>
      <c r="Z35" s="2" t="s">
        <v>109</v>
      </c>
    </row>
    <row r="36" spans="1:26" x14ac:dyDescent="0.3">
      <c r="A36" t="s">
        <v>8</v>
      </c>
      <c r="M36" s="2">
        <f>B27</f>
        <v>50</v>
      </c>
      <c r="N36" s="27">
        <f>M2</f>
        <v>24.663157894736859</v>
      </c>
      <c r="O36" s="2"/>
      <c r="P36" s="2">
        <f>M36</f>
        <v>50</v>
      </c>
      <c r="Q36" s="2">
        <f ca="1">M3</f>
        <v>43.333333333333329</v>
      </c>
      <c r="R36" s="2"/>
      <c r="S36" s="2">
        <f>M36</f>
        <v>50</v>
      </c>
      <c r="T36" s="2">
        <f>M4</f>
        <v>47.176977443609019</v>
      </c>
      <c r="U36" s="2"/>
      <c r="V36" s="2">
        <f>M36</f>
        <v>50</v>
      </c>
      <c r="W36" s="2" t="e">
        <f ca="1">M5</f>
        <v>#N/A</v>
      </c>
      <c r="X36" s="2"/>
      <c r="Y36" s="2">
        <f>M36</f>
        <v>50</v>
      </c>
      <c r="Z36">
        <f>M6</f>
        <v>18</v>
      </c>
    </row>
    <row r="37" spans="1:26" x14ac:dyDescent="0.3">
      <c r="A37" s="1" t="e">
        <f ca="1">(B28/100*20)+(B29/100*20)+(B30/100*25)+(B31/100*20)+(B32/100*15)</f>
        <v>#N/A</v>
      </c>
      <c r="M37" s="2">
        <f>M36+1</f>
        <v>51</v>
      </c>
      <c r="N37" s="2">
        <f t="shared" ref="N37:N46" si="7">N36-(N36*0.0115)</f>
        <v>24.379531578947386</v>
      </c>
      <c r="O37" s="2"/>
      <c r="P37" s="2">
        <f>P36+1</f>
        <v>51</v>
      </c>
      <c r="Q37" s="2">
        <f ca="1">Q36+(Q36*0.0123)</f>
        <v>43.86633333333333</v>
      </c>
      <c r="R37" s="2"/>
      <c r="S37" s="2">
        <f>S36+1</f>
        <v>51</v>
      </c>
      <c r="T37" s="2">
        <f>T36+(T36*0.011)</f>
        <v>47.695924195488715</v>
      </c>
      <c r="U37" s="2"/>
      <c r="V37" s="2">
        <f>V36+1</f>
        <v>51</v>
      </c>
      <c r="W37" s="2" t="e">
        <f ca="1">W36+(W36*0.0099)</f>
        <v>#N/A</v>
      </c>
      <c r="X37" s="2"/>
      <c r="Y37" s="2">
        <f>Y36+1</f>
        <v>51</v>
      </c>
      <c r="Z37">
        <f>Z36+(Z36*0.02)</f>
        <v>18.36</v>
      </c>
    </row>
    <row r="38" spans="1:26" x14ac:dyDescent="0.3">
      <c r="M38" s="2">
        <f t="shared" ref="M38:M46" si="8">M37+1</f>
        <v>52</v>
      </c>
      <c r="N38" s="2">
        <f t="shared" si="7"/>
        <v>24.09916696578949</v>
      </c>
      <c r="O38" s="2"/>
      <c r="P38" s="2">
        <f t="shared" ref="P38:P46" si="9">P37+1</f>
        <v>52</v>
      </c>
      <c r="Q38" s="2">
        <f t="shared" ref="Q38:Q46" ca="1" si="10">Q37+(Q37*0.0123)</f>
        <v>44.405889233333333</v>
      </c>
      <c r="R38" s="2"/>
      <c r="S38" s="2">
        <f t="shared" ref="S38:S46" si="11">S37+1</f>
        <v>52</v>
      </c>
      <c r="T38" s="2">
        <f t="shared" ref="T38:T46" si="12">T37+(T37*0.011)</f>
        <v>48.220579361639089</v>
      </c>
      <c r="U38" s="2"/>
      <c r="V38" s="2">
        <f t="shared" ref="V38:V46" si="13">V37+1</f>
        <v>52</v>
      </c>
      <c r="W38" s="2" t="e">
        <f t="shared" ref="W38:W46" ca="1" si="14">W37+(W37*0.0099)</f>
        <v>#N/A</v>
      </c>
      <c r="X38" s="2"/>
      <c r="Y38" s="2">
        <f t="shared" ref="Y38:Y46" si="15">Y37+1</f>
        <v>52</v>
      </c>
      <c r="Z38">
        <f t="shared" ref="Z38:Z46" si="16">Z37+(Z37*0.02)</f>
        <v>18.7272</v>
      </c>
    </row>
    <row r="39" spans="1:26" x14ac:dyDescent="0.3">
      <c r="M39" s="2">
        <f t="shared" si="8"/>
        <v>53</v>
      </c>
      <c r="N39" s="2">
        <f t="shared" si="7"/>
        <v>23.82202654568291</v>
      </c>
      <c r="O39" s="2"/>
      <c r="P39" s="2">
        <f t="shared" si="9"/>
        <v>53</v>
      </c>
      <c r="Q39" s="2">
        <f t="shared" ca="1" si="10"/>
        <v>44.952081670903333</v>
      </c>
      <c r="R39" s="2"/>
      <c r="S39" s="2">
        <f t="shared" si="11"/>
        <v>53</v>
      </c>
      <c r="T39" s="2">
        <f t="shared" si="12"/>
        <v>48.751005734617117</v>
      </c>
      <c r="U39" s="2"/>
      <c r="V39" s="2">
        <f t="shared" si="13"/>
        <v>53</v>
      </c>
      <c r="W39" s="2" t="e">
        <f t="shared" ca="1" si="14"/>
        <v>#N/A</v>
      </c>
      <c r="X39" s="2"/>
      <c r="Y39" s="2">
        <f t="shared" si="15"/>
        <v>53</v>
      </c>
      <c r="Z39">
        <f t="shared" si="16"/>
        <v>19.101744</v>
      </c>
    </row>
    <row r="40" spans="1:26" x14ac:dyDescent="0.3">
      <c r="M40" s="2">
        <f t="shared" si="8"/>
        <v>54</v>
      </c>
      <c r="N40" s="2">
        <f t="shared" si="7"/>
        <v>23.548073240407557</v>
      </c>
      <c r="O40" s="2"/>
      <c r="P40" s="2">
        <f t="shared" si="9"/>
        <v>54</v>
      </c>
      <c r="Q40" s="2">
        <f t="shared" ca="1" si="10"/>
        <v>45.504992275455443</v>
      </c>
      <c r="R40" s="2"/>
      <c r="S40" s="2">
        <f t="shared" si="11"/>
        <v>54</v>
      </c>
      <c r="T40" s="2">
        <f t="shared" si="12"/>
        <v>49.287266797697903</v>
      </c>
      <c r="U40" s="2"/>
      <c r="V40" s="2">
        <f t="shared" si="13"/>
        <v>54</v>
      </c>
      <c r="W40" s="2" t="e">
        <f t="shared" ca="1" si="14"/>
        <v>#N/A</v>
      </c>
      <c r="X40" s="2"/>
      <c r="Y40" s="2">
        <f t="shared" si="15"/>
        <v>54</v>
      </c>
      <c r="Z40">
        <f t="shared" si="16"/>
        <v>19.483778879999999</v>
      </c>
    </row>
    <row r="41" spans="1:26" x14ac:dyDescent="0.3">
      <c r="M41" s="2">
        <f t="shared" si="8"/>
        <v>55</v>
      </c>
      <c r="N41" s="2">
        <f t="shared" si="7"/>
        <v>23.277270398142871</v>
      </c>
      <c r="O41" s="2"/>
      <c r="P41" s="2">
        <f t="shared" si="9"/>
        <v>55</v>
      </c>
      <c r="Q41" s="2">
        <f t="shared" ca="1" si="10"/>
        <v>46.064703680443543</v>
      </c>
      <c r="R41" s="2"/>
      <c r="S41" s="2">
        <f t="shared" si="11"/>
        <v>55</v>
      </c>
      <c r="T41" s="2">
        <f t="shared" si="12"/>
        <v>49.829426732472577</v>
      </c>
      <c r="U41" s="2"/>
      <c r="V41" s="2">
        <f t="shared" si="13"/>
        <v>55</v>
      </c>
      <c r="W41" s="2" t="e">
        <f t="shared" ca="1" si="14"/>
        <v>#N/A</v>
      </c>
      <c r="X41" s="2"/>
      <c r="Y41" s="2">
        <f t="shared" si="15"/>
        <v>55</v>
      </c>
      <c r="Z41">
        <f t="shared" si="16"/>
        <v>19.873454457599998</v>
      </c>
    </row>
    <row r="42" spans="1:26" x14ac:dyDescent="0.3">
      <c r="B42" t="s">
        <v>12</v>
      </c>
      <c r="C42" t="s">
        <v>0</v>
      </c>
      <c r="D42" t="s">
        <v>12</v>
      </c>
      <c r="E42" t="s">
        <v>1</v>
      </c>
      <c r="F42" t="s">
        <v>12</v>
      </c>
      <c r="G42" t="s">
        <v>2</v>
      </c>
      <c r="H42" t="s">
        <v>12</v>
      </c>
      <c r="I42" t="s">
        <v>3</v>
      </c>
      <c r="J42" t="s">
        <v>12</v>
      </c>
      <c r="K42" t="s">
        <v>4</v>
      </c>
      <c r="M42" s="2">
        <f t="shared" si="8"/>
        <v>56</v>
      </c>
      <c r="N42" s="2">
        <f t="shared" si="7"/>
        <v>23.00958178856423</v>
      </c>
      <c r="O42" s="2"/>
      <c r="P42" s="2">
        <f t="shared" si="9"/>
        <v>56</v>
      </c>
      <c r="Q42" s="2">
        <f t="shared" ca="1" si="10"/>
        <v>46.631299535712998</v>
      </c>
      <c r="R42" s="2"/>
      <c r="S42" s="2">
        <f t="shared" si="11"/>
        <v>56</v>
      </c>
      <c r="T42" s="2">
        <f t="shared" si="12"/>
        <v>50.377550426529773</v>
      </c>
      <c r="U42" s="2"/>
      <c r="V42" s="2">
        <f t="shared" si="13"/>
        <v>56</v>
      </c>
      <c r="W42" s="2" t="e">
        <f t="shared" ca="1" si="14"/>
        <v>#N/A</v>
      </c>
      <c r="X42" s="2"/>
      <c r="Y42" s="2">
        <f t="shared" si="15"/>
        <v>56</v>
      </c>
      <c r="Z42">
        <f t="shared" si="16"/>
        <v>20.270923546751998</v>
      </c>
    </row>
    <row r="43" spans="1:26" x14ac:dyDescent="0.3">
      <c r="B43">
        <f>B27</f>
        <v>50</v>
      </c>
      <c r="C43">
        <f>B28</f>
        <v>24.663157894736859</v>
      </c>
      <c r="D43">
        <f>B43</f>
        <v>50</v>
      </c>
      <c r="E43">
        <f ca="1">B29</f>
        <v>43.333333333333329</v>
      </c>
      <c r="F43">
        <f>B27</f>
        <v>50</v>
      </c>
      <c r="G43">
        <f>B30</f>
        <v>47.176977443609019</v>
      </c>
      <c r="H43">
        <f>B27</f>
        <v>50</v>
      </c>
      <c r="I43" t="e">
        <f ca="1">B31</f>
        <v>#N/A</v>
      </c>
      <c r="J43">
        <f>B27</f>
        <v>50</v>
      </c>
      <c r="K43">
        <f>B32</f>
        <v>18</v>
      </c>
      <c r="M43" s="2">
        <f t="shared" si="8"/>
        <v>57</v>
      </c>
      <c r="N43" s="2">
        <f t="shared" si="7"/>
        <v>22.74497159799574</v>
      </c>
      <c r="O43" s="2"/>
      <c r="P43" s="2">
        <f t="shared" si="9"/>
        <v>57</v>
      </c>
      <c r="Q43" s="2">
        <f t="shared" ca="1" si="10"/>
        <v>47.204864520002268</v>
      </c>
      <c r="R43" s="2"/>
      <c r="S43" s="2">
        <f t="shared" si="11"/>
        <v>57</v>
      </c>
      <c r="T43" s="2">
        <f t="shared" si="12"/>
        <v>50.931703481221604</v>
      </c>
      <c r="U43" s="2"/>
      <c r="V43" s="2">
        <f t="shared" si="13"/>
        <v>57</v>
      </c>
      <c r="W43" s="2" t="e">
        <f t="shared" ca="1" si="14"/>
        <v>#N/A</v>
      </c>
      <c r="X43" s="2"/>
      <c r="Y43" s="2">
        <f t="shared" si="15"/>
        <v>57</v>
      </c>
      <c r="Z43">
        <f t="shared" si="16"/>
        <v>20.676342017687038</v>
      </c>
    </row>
    <row r="44" spans="1:26" x14ac:dyDescent="0.3">
      <c r="B44">
        <f>C27</f>
        <v>60</v>
      </c>
      <c r="C44">
        <f>C28</f>
        <v>27.499421052631597</v>
      </c>
      <c r="D44">
        <f>B44</f>
        <v>60</v>
      </c>
      <c r="E44">
        <f ca="1">C29</f>
        <v>48.663333333333327</v>
      </c>
      <c r="F44">
        <f>C27</f>
        <v>60</v>
      </c>
      <c r="G44">
        <f>C30</f>
        <v>49.771711203007513</v>
      </c>
      <c r="H44">
        <f>C27</f>
        <v>60</v>
      </c>
      <c r="I44" t="e">
        <f ca="1">C31</f>
        <v>#N/A</v>
      </c>
      <c r="J44">
        <f>C27</f>
        <v>60</v>
      </c>
      <c r="K44">
        <f>C32</f>
        <v>21.6</v>
      </c>
      <c r="M44" s="2">
        <f t="shared" si="8"/>
        <v>58</v>
      </c>
      <c r="N44" s="2">
        <f t="shared" si="7"/>
        <v>22.48340442461879</v>
      </c>
      <c r="O44" s="2"/>
      <c r="P44" s="2">
        <f t="shared" si="9"/>
        <v>58</v>
      </c>
      <c r="Q44" s="2">
        <f t="shared" ca="1" si="10"/>
        <v>47.785484353598292</v>
      </c>
      <c r="R44" s="2"/>
      <c r="S44" s="2">
        <f t="shared" si="11"/>
        <v>58</v>
      </c>
      <c r="T44" s="2">
        <f t="shared" si="12"/>
        <v>51.491952219515042</v>
      </c>
      <c r="U44" s="2"/>
      <c r="V44" s="2">
        <f t="shared" si="13"/>
        <v>58</v>
      </c>
      <c r="W44" s="2" t="e">
        <f t="shared" ca="1" si="14"/>
        <v>#N/A</v>
      </c>
      <c r="X44" s="2"/>
      <c r="Y44" s="2">
        <f t="shared" si="15"/>
        <v>58</v>
      </c>
      <c r="Z44">
        <f t="shared" si="16"/>
        <v>21.089868858040777</v>
      </c>
    </row>
    <row r="45" spans="1:26" x14ac:dyDescent="0.3">
      <c r="B45">
        <f>D27</f>
        <v>70</v>
      </c>
      <c r="C45">
        <f>D28</f>
        <v>36.354234631578969</v>
      </c>
      <c r="D45">
        <f>D27</f>
        <v>70</v>
      </c>
      <c r="E45">
        <f ca="1">D29</f>
        <v>63.651639999999993</v>
      </c>
      <c r="F45">
        <f>D27</f>
        <v>70</v>
      </c>
      <c r="G45">
        <f>D30</f>
        <v>55.246599435338339</v>
      </c>
      <c r="H45">
        <f>D27</f>
        <v>70</v>
      </c>
      <c r="I45" t="e">
        <f ca="1">D31</f>
        <v>#N/A</v>
      </c>
      <c r="J45">
        <f>D27</f>
        <v>70</v>
      </c>
      <c r="K45">
        <f>D32</f>
        <v>34.56</v>
      </c>
      <c r="M45" s="2">
        <f t="shared" si="8"/>
        <v>59</v>
      </c>
      <c r="N45" s="2">
        <f t="shared" si="7"/>
        <v>22.224845273735674</v>
      </c>
      <c r="O45" s="2"/>
      <c r="P45" s="2">
        <f t="shared" si="9"/>
        <v>59</v>
      </c>
      <c r="Q45" s="2">
        <f t="shared" ca="1" si="10"/>
        <v>48.373245811147548</v>
      </c>
      <c r="R45" s="2"/>
      <c r="S45" s="2">
        <f t="shared" si="11"/>
        <v>59</v>
      </c>
      <c r="T45" s="2">
        <f t="shared" si="12"/>
        <v>52.058363693929707</v>
      </c>
      <c r="U45" s="2"/>
      <c r="V45" s="2">
        <f t="shared" si="13"/>
        <v>59</v>
      </c>
      <c r="W45" s="2" t="e">
        <f t="shared" ca="1" si="14"/>
        <v>#N/A</v>
      </c>
      <c r="X45" s="2"/>
      <c r="Y45" s="2">
        <f t="shared" si="15"/>
        <v>59</v>
      </c>
      <c r="Z45">
        <f t="shared" si="16"/>
        <v>21.511666235201591</v>
      </c>
    </row>
    <row r="46" spans="1:26" x14ac:dyDescent="0.3">
      <c r="B46">
        <f>E27</f>
        <v>80</v>
      </c>
      <c r="C46">
        <f>E28</f>
        <v>48.060298182947399</v>
      </c>
      <c r="D46">
        <f>E27</f>
        <v>80</v>
      </c>
      <c r="E46">
        <f ca="1">E29</f>
        <v>83.256345119999992</v>
      </c>
      <c r="F46">
        <f>E27</f>
        <v>80</v>
      </c>
      <c r="G46">
        <f>E30</f>
        <v>61.323725373225557</v>
      </c>
      <c r="H46">
        <f>E27</f>
        <v>80</v>
      </c>
      <c r="I46" t="e">
        <f ca="1">E31</f>
        <v>#N/A</v>
      </c>
      <c r="J46">
        <f>E27</f>
        <v>80</v>
      </c>
      <c r="K46">
        <f>E32</f>
        <v>55.296000000000006</v>
      </c>
      <c r="M46" s="2">
        <f t="shared" si="8"/>
        <v>60</v>
      </c>
      <c r="N46" s="2">
        <f t="shared" si="7"/>
        <v>21.969259553087713</v>
      </c>
      <c r="O46" s="2"/>
      <c r="P46" s="2">
        <f t="shared" si="9"/>
        <v>60</v>
      </c>
      <c r="Q46" s="2">
        <f t="shared" ca="1" si="10"/>
        <v>48.968236734624661</v>
      </c>
      <c r="R46" s="2"/>
      <c r="S46" s="2">
        <f t="shared" si="11"/>
        <v>60</v>
      </c>
      <c r="T46" s="2">
        <f t="shared" si="12"/>
        <v>52.63100569456293</v>
      </c>
      <c r="U46" s="2"/>
      <c r="V46" s="2">
        <f t="shared" si="13"/>
        <v>60</v>
      </c>
      <c r="W46" s="2" t="e">
        <f t="shared" ca="1" si="14"/>
        <v>#N/A</v>
      </c>
      <c r="X46" s="2"/>
      <c r="Y46" s="2">
        <f t="shared" si="15"/>
        <v>60</v>
      </c>
      <c r="Z46">
        <f t="shared" si="16"/>
        <v>21.941899559905622</v>
      </c>
    </row>
    <row r="47" spans="1:26" x14ac:dyDescent="0.3">
      <c r="B47">
        <f>F27</f>
        <v>90</v>
      </c>
      <c r="C47">
        <f>F28</f>
        <v>63.535714197856464</v>
      </c>
      <c r="D47">
        <f>F27</f>
        <v>90</v>
      </c>
      <c r="E47">
        <f ca="1">F29</f>
        <v>108.89929941695999</v>
      </c>
      <c r="F47">
        <f>F27</f>
        <v>90</v>
      </c>
      <c r="G47" t="e">
        <f ca="1">F31</f>
        <v>#N/A</v>
      </c>
      <c r="H47">
        <f>F27</f>
        <v>90</v>
      </c>
      <c r="I47" t="e">
        <f ca="1">F31</f>
        <v>#N/A</v>
      </c>
      <c r="J47">
        <f>F27</f>
        <v>90</v>
      </c>
      <c r="K47">
        <f>F32</f>
        <v>88.473600000000005</v>
      </c>
    </row>
  </sheetData>
  <mergeCells count="1">
    <mergeCell ref="A23:F2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4581525E9BCE4AAA4E1515EACD699F" ma:contentTypeVersion="16" ma:contentTypeDescription="Create a new document." ma:contentTypeScope="" ma:versionID="7e5f3c6e7d60ee5383277c9be6ea8a16">
  <xsd:schema xmlns:xsd="http://www.w3.org/2001/XMLSchema" xmlns:xs="http://www.w3.org/2001/XMLSchema" xmlns:p="http://schemas.microsoft.com/office/2006/metadata/properties" xmlns:ns3="ee12c641-b7b5-4d71-9d9e-ee221c675a3f" xmlns:ns4="cac8501e-e415-4520-9931-0c8bcaa2b42e" targetNamespace="http://schemas.microsoft.com/office/2006/metadata/properties" ma:root="true" ma:fieldsID="8bc38e4ac3376dcf803c31d3c037f1ae" ns3:_="" ns4:_="">
    <xsd:import namespace="ee12c641-b7b5-4d71-9d9e-ee221c675a3f"/>
    <xsd:import namespace="cac8501e-e415-4520-9931-0c8bcaa2b42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_activity" minOccurs="0"/>
                <xsd:element ref="ns3:MediaServiceObjectDetectorVersions" minOccurs="0"/>
                <xsd:element ref="ns3:MediaServiceSystemTag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12c641-b7b5-4d71-9d9e-ee221c675a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8501e-e415-4520-9931-0c8bcaa2b4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ee12c641-b7b5-4d71-9d9e-ee221c675a3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A7B15-B72D-4397-A3B2-52220CA1A2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12c641-b7b5-4d71-9d9e-ee221c675a3f"/>
    <ds:schemaRef ds:uri="cac8501e-e415-4520-9931-0c8bcaa2b4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53BD52-C9EF-406F-A58C-53276F5095CC}">
  <ds:schemaRefs>
    <ds:schemaRef ds:uri="http://www.w3.org/XML/1998/namespace"/>
    <ds:schemaRef ds:uri="http://schemas.microsoft.com/office/2006/documentManagement/types"/>
    <ds:schemaRef ds:uri="http://purl.org/dc/dcmitype/"/>
    <ds:schemaRef ds:uri="http://schemas.openxmlformats.org/package/2006/metadata/core-properties"/>
    <ds:schemaRef ds:uri="http://purl.org/dc/terms/"/>
    <ds:schemaRef ds:uri="http://schemas.microsoft.com/office/infopath/2007/PartnerControls"/>
    <ds:schemaRef ds:uri="http://purl.org/dc/elements/1.1/"/>
    <ds:schemaRef ds:uri="cac8501e-e415-4520-9931-0c8bcaa2b42e"/>
    <ds:schemaRef ds:uri="ee12c641-b7b5-4d71-9d9e-ee221c675a3f"/>
    <ds:schemaRef ds:uri="http://schemas.microsoft.com/office/2006/metadata/properties"/>
  </ds:schemaRefs>
</ds:datastoreItem>
</file>

<file path=customXml/itemProps3.xml><?xml version="1.0" encoding="utf-8"?>
<ds:datastoreItem xmlns:ds="http://schemas.openxmlformats.org/officeDocument/2006/customXml" ds:itemID="{C9DC6343-628F-47D6-A70E-ACAB00C1F7C2}">
  <ds:schemaRefs>
    <ds:schemaRef ds:uri="http://schemas.microsoft.com/sharepoint/v3/contenttype/forms"/>
  </ds:schemaRefs>
</ds:datastoreItem>
</file>

<file path=docMetadata/LabelInfo.xml><?xml version="1.0" encoding="utf-8"?>
<clbl:labelList xmlns:clbl="http://schemas.microsoft.com/office/2020/mipLabelMetadata">
  <clbl:label id="{0084b924-3ab4-4116-9251-9939f695e54c}" enabled="0" method="" siteId="{0084b924-3ab4-4116-9251-9939f695e54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Vitality Normative Data</vt:lpstr>
      <vt:lpstr>Strength_Normative_Data</vt:lpstr>
      <vt:lpstr>Mobility_Normative_Data</vt:lpstr>
      <vt:lpstr>Metabolic_Normative_Data</vt:lpstr>
      <vt:lpstr>Average_20_Year_Old_Man_Pro</vt:lpstr>
      <vt:lpstr>Persona_1</vt:lpstr>
      <vt:lpstr>Persona_2</vt:lpstr>
      <vt:lpstr>Persona_3</vt:lpstr>
      <vt:lpstr>Persona_4</vt:lpstr>
      <vt:lpstr>Persona_5</vt:lpstr>
      <vt:lpstr>Persona_6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ULPG:WILSON.BEN</dc:creator>
  <cp:lastModifiedBy>ULPG:WILSON.BEN</cp:lastModifiedBy>
  <dcterms:created xsi:type="dcterms:W3CDTF">2025-12-15T10:01:23Z</dcterms:created>
  <dcterms:modified xsi:type="dcterms:W3CDTF">2026-02-12T15:34:20Z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0x010100AD4581525E9BCE4AAA4E1515EACD699F</vt:lpwstr>
  </property>
</Properties>
</file>